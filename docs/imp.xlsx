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048" windowHeight="13740" tabRatio="873" activeTab="6"/>
  </bookViews>
  <sheets>
    <sheet name="2026.01" sheetId="2" r:id="rId1"/>
    <sheet name="2026.02" sheetId="4" r:id="rId2"/>
    <sheet name="2026.03" sheetId="5" r:id="rId3"/>
    <sheet name="2026.04" sheetId="6" r:id="rId4"/>
    <sheet name="2026.05" sheetId="7" r:id="rId5"/>
    <sheet name="2026.06" sheetId="8" r:id="rId6"/>
    <sheet name="2026.07" sheetId="9" r:id="rId7"/>
    <sheet name="Sheet2" sheetId="15" r:id="rId8"/>
  </sheets>
  <externalReferences>
    <externalReference r:id="rId9"/>
  </externalReferences>
  <calcPr calcId="144525"/>
</workbook>
</file>

<file path=xl/sharedStrings.xml><?xml version="1.0" encoding="utf-8"?>
<sst xmlns="http://schemas.openxmlformats.org/spreadsheetml/2006/main" count="1525" uniqueCount="646">
  <si>
    <t>日期</t>
  </si>
  <si>
    <t>交易</t>
  </si>
  <si>
    <t>类别</t>
  </si>
  <si>
    <t>金额</t>
  </si>
  <si>
    <t>备注</t>
  </si>
  <si>
    <t>2026.01.01</t>
  </si>
  <si>
    <t>2026.01.02</t>
  </si>
  <si>
    <t>李小强婚礼礼金</t>
  </si>
  <si>
    <t>红包转账</t>
  </si>
  <si>
    <t>妈妈给的</t>
  </si>
  <si>
    <t>2026.01.03</t>
  </si>
  <si>
    <t>小桔充电会员月卡</t>
  </si>
  <si>
    <t>汽车充电</t>
  </si>
  <si>
    <t>晚饭-海底捞</t>
  </si>
  <si>
    <t>餐饮美食</t>
  </si>
  <si>
    <t>浦江万达</t>
  </si>
  <si>
    <t>2026.01.04</t>
  </si>
  <si>
    <t>小桔充电</t>
  </si>
  <si>
    <t>高速费</t>
  </si>
  <si>
    <t>燃气费</t>
  </si>
  <si>
    <t>生活缴费</t>
  </si>
  <si>
    <t>2026.01.05</t>
  </si>
  <si>
    <t>水费</t>
  </si>
  <si>
    <t>晚饭-吴茂兴</t>
  </si>
  <si>
    <t>2026.01.06</t>
  </si>
  <si>
    <t>地铁卡充值</t>
  </si>
  <si>
    <t>交通出行</t>
  </si>
  <si>
    <t>汽车加油</t>
  </si>
  <si>
    <t>晚饭-孟垚牛肉汤外卖</t>
  </si>
  <si>
    <t>2026.01.07</t>
  </si>
  <si>
    <t>3M毛毡钩</t>
  </si>
  <si>
    <t>汽车消费</t>
  </si>
  <si>
    <t>汽车气门芯盖</t>
  </si>
  <si>
    <t>晚饭-烩面</t>
  </si>
  <si>
    <t>2026.01.08</t>
  </si>
  <si>
    <t>浦江新都</t>
  </si>
  <si>
    <t>停车费</t>
  </si>
  <si>
    <t>S32申嘉湖</t>
  </si>
  <si>
    <t>卫龙魔芋爽</t>
  </si>
  <si>
    <t>dy</t>
  </si>
  <si>
    <t>2026.01.09</t>
  </si>
  <si>
    <t>九牧马桶泡沫补充液</t>
  </si>
  <si>
    <t>家居家装</t>
  </si>
  <si>
    <t>一次性吸管300支</t>
  </si>
  <si>
    <t>日用百货</t>
  </si>
  <si>
    <t>餐垫</t>
  </si>
  <si>
    <t>厨房橱柜收纳盒</t>
  </si>
  <si>
    <t>厨房壁挂垃圾桶</t>
  </si>
  <si>
    <t>茶花硅胶饭勺</t>
  </si>
  <si>
    <t>2026.01.10</t>
  </si>
  <si>
    <t>皇家猫粮EP42</t>
  </si>
  <si>
    <t>宠物消费</t>
  </si>
  <si>
    <t>盒马</t>
  </si>
  <si>
    <t>生鲜食材</t>
  </si>
  <si>
    <t>老姜小葱小米辣椒腐乳十三香泡面火腿肠，老姜称重后退款0.18</t>
  </si>
  <si>
    <t>2026.01.11</t>
  </si>
  <si>
    <t>浦发信用卡万用金</t>
  </si>
  <si>
    <t>小区</t>
  </si>
  <si>
    <t>隐形车衣</t>
  </si>
  <si>
    <t>烤肠奶茶</t>
  </si>
  <si>
    <t>世纪公园</t>
  </si>
  <si>
    <t>火车票</t>
  </si>
  <si>
    <t>景德镇北-上海虹桥</t>
  </si>
  <si>
    <t>钢丝球刷锅球</t>
  </si>
  <si>
    <t>2026.01.12</t>
  </si>
  <si>
    <t>补缴</t>
  </si>
  <si>
    <t>李冰路</t>
  </si>
  <si>
    <t>2026.01.13</t>
  </si>
  <si>
    <t>2026.01.14</t>
  </si>
  <si>
    <t>2026.01.15</t>
  </si>
  <si>
    <t>过滤漏勺</t>
  </si>
  <si>
    <t>2026.01.16</t>
  </si>
  <si>
    <t>奥司他韦</t>
  </si>
  <si>
    <t>医疗健康</t>
  </si>
  <si>
    <t>晚饭-炒面</t>
  </si>
  <si>
    <t>景德镇陶邑栖川酒店</t>
  </si>
  <si>
    <t>旅游出行</t>
  </si>
  <si>
    <t>2026.01.17</t>
  </si>
  <si>
    <t>上海南站全家早餐</t>
  </si>
  <si>
    <t>滴滴打车</t>
  </si>
  <si>
    <t>午饭-老吴牛骨粉</t>
  </si>
  <si>
    <t>陶艺diy</t>
  </si>
  <si>
    <t>陶艺diy行李寄存</t>
  </si>
  <si>
    <t>免费寄存，押金已退</t>
  </si>
  <si>
    <t>晚饭-乐乐大排档外卖</t>
  </si>
  <si>
    <t>2026.01.18</t>
  </si>
  <si>
    <t>烤肠</t>
  </si>
  <si>
    <t>陶瓷博物馆门口</t>
  </si>
  <si>
    <t>水溶C</t>
  </si>
  <si>
    <t>冰箱贴</t>
  </si>
  <si>
    <t>创意潮玩</t>
  </si>
  <si>
    <t>陶瓷博物馆</t>
  </si>
  <si>
    <t>矿泉水</t>
  </si>
  <si>
    <t>中山北路门口</t>
  </si>
  <si>
    <t>晚饭-图味美小黄鱼</t>
  </si>
  <si>
    <t>双人餐</t>
  </si>
  <si>
    <t>2026.01.19</t>
  </si>
  <si>
    <t>长虹缤纷时代广场-景德镇北</t>
  </si>
  <si>
    <t>地铁</t>
  </si>
  <si>
    <t>抖音乘车码，浦发信用卡支付</t>
  </si>
  <si>
    <t>上海虹桥全家便利店</t>
  </si>
  <si>
    <t>饮料、面包</t>
  </si>
  <si>
    <t>2026.01.20</t>
  </si>
  <si>
    <t>房贷</t>
  </si>
  <si>
    <t>购房</t>
  </si>
  <si>
    <t>2026.01.21</t>
  </si>
  <si>
    <t>晚饭-小笼包</t>
  </si>
  <si>
    <t>2026.01.22</t>
  </si>
  <si>
    <t>2026.01.23</t>
  </si>
  <si>
    <t>上班</t>
  </si>
  <si>
    <t>下班</t>
  </si>
  <si>
    <t>戴森吸尘器管</t>
  </si>
  <si>
    <t>2026.01.24</t>
  </si>
  <si>
    <t>2026.01.25</t>
  </si>
  <si>
    <t>地铁费</t>
  </si>
  <si>
    <t>浦航路-淮海中路</t>
  </si>
  <si>
    <t>皇家猫粮i27</t>
  </si>
  <si>
    <t>全聚德毛巾</t>
  </si>
  <si>
    <t>双人餐不包含一次性毛巾</t>
  </si>
  <si>
    <t>黄陂南路-浦航路</t>
  </si>
  <si>
    <t>2026.01.26</t>
  </si>
  <si>
    <t>车贷</t>
  </si>
  <si>
    <t>购车</t>
  </si>
  <si>
    <t>2026.01.27</t>
  </si>
  <si>
    <t>丰巢超时费</t>
  </si>
  <si>
    <t>未分类支出</t>
  </si>
  <si>
    <t>2026.01.28</t>
  </si>
  <si>
    <t>2026.01.29</t>
  </si>
  <si>
    <t>2026.01.30</t>
  </si>
  <si>
    <t>小桔会员</t>
  </si>
  <si>
    <t>特来电</t>
  </si>
  <si>
    <t>2026.01.31</t>
  </si>
  <si>
    <t>晚饭-欧记大排档</t>
  </si>
  <si>
    <t>新大陆广场停车费</t>
  </si>
  <si>
    <t>佐印袜子</t>
  </si>
  <si>
    <t>服饰装扮</t>
  </si>
  <si>
    <t>pdd</t>
  </si>
  <si>
    <t>话费-星卡</t>
  </si>
  <si>
    <t>2026.02.01</t>
  </si>
  <si>
    <t>丝圈入户地垫</t>
  </si>
  <si>
    <t>壁挂全身镜</t>
  </si>
  <si>
    <t>凑单商品已退款</t>
  </si>
  <si>
    <t>厨房收纳盒</t>
  </si>
  <si>
    <t>旺旺年货大礼包</t>
  </si>
  <si>
    <t>2026.02.02</t>
  </si>
  <si>
    <t>层板托</t>
  </si>
  <si>
    <t>新年装饰卡片</t>
  </si>
  <si>
    <t>亚克力层板</t>
  </si>
  <si>
    <t>2片60包邮</t>
  </si>
  <si>
    <t>照片墙毛毡布</t>
  </si>
  <si>
    <t>不锈钢蒸架</t>
  </si>
  <si>
    <t>硅胶夹子</t>
  </si>
  <si>
    <t>仿藤编收纳筐</t>
  </si>
  <si>
    <t>2026.02.03</t>
  </si>
  <si>
    <t>龙族1-4旧版套装</t>
  </si>
  <si>
    <t>文娱休闲</t>
  </si>
  <si>
    <t>这里是中国1-3礼盒</t>
  </si>
  <si>
    <t>pdd妈的不发货已经退款</t>
  </si>
  <si>
    <t>2026.02.04</t>
  </si>
  <si>
    <t>2026.02.05</t>
  </si>
  <si>
    <t>磨砂雾透键帽</t>
  </si>
  <si>
    <t>3C数码</t>
  </si>
  <si>
    <t>2026.02.06</t>
  </si>
  <si>
    <t>毛毡贴</t>
  </si>
  <si>
    <t>瑞星咖啡</t>
  </si>
  <si>
    <t>1月电费</t>
  </si>
  <si>
    <t>2026.02.07</t>
  </si>
  <si>
    <t>山姆会员店</t>
  </si>
  <si>
    <t>2026.02.08</t>
  </si>
  <si>
    <t>伍尔特玻璃水2</t>
  </si>
  <si>
    <t>2026.02.09</t>
  </si>
  <si>
    <t>2026.02.10</t>
  </si>
  <si>
    <t>新年装饰桌旗</t>
  </si>
  <si>
    <t>木托直筒花瓶</t>
  </si>
  <si>
    <t>新年装饰拉花吊旗</t>
  </si>
  <si>
    <t>新年装饰入户地垫福</t>
  </si>
  <si>
    <t>新年装饰窗花静电贴</t>
  </si>
  <si>
    <t>新年装饰门把手</t>
  </si>
  <si>
    <t>新年装饰福字鞭炮</t>
  </si>
  <si>
    <t>durex</t>
  </si>
  <si>
    <t>猫砂盆门帘</t>
  </si>
  <si>
    <t>2026.02.11</t>
  </si>
  <si>
    <t>2026.02.12</t>
  </si>
  <si>
    <t>2026.02.13</t>
  </si>
  <si>
    <t>理线压条</t>
  </si>
  <si>
    <t>applemusic</t>
  </si>
  <si>
    <t>充值订阅</t>
  </si>
  <si>
    <t>11元三个月</t>
  </si>
  <si>
    <t>2026.02.14</t>
  </si>
  <si>
    <t>盒马鲜生火锅食材</t>
  </si>
  <si>
    <t>还阿龙钱</t>
  </si>
  <si>
    <t>借贷还款</t>
  </si>
  <si>
    <t>2026.02.15</t>
  </si>
  <si>
    <t>2026.02.16</t>
  </si>
  <si>
    <t>炫赫门</t>
  </si>
  <si>
    <t>烟酒茶叶</t>
  </si>
  <si>
    <t>线香</t>
  </si>
  <si>
    <t>给露露发红包</t>
  </si>
  <si>
    <t>2026.02.17</t>
  </si>
  <si>
    <t>2026.02.18</t>
  </si>
  <si>
    <t>去她家带礼</t>
  </si>
  <si>
    <t>2哇哈哈八宝粥+3界首牛肉</t>
  </si>
  <si>
    <t>现金</t>
  </si>
  <si>
    <t>2026.02.19</t>
  </si>
  <si>
    <t>2026.02.20</t>
  </si>
  <si>
    <t>转账给介婷婷</t>
  </si>
  <si>
    <t>我输10块，露露输45</t>
  </si>
  <si>
    <t>2026.02.21</t>
  </si>
  <si>
    <t>2026.02.22</t>
  </si>
  <si>
    <t>面包零食饮料</t>
  </si>
  <si>
    <t>出门前买点东西路上吃</t>
  </si>
  <si>
    <t>2026.02.23</t>
  </si>
  <si>
    <t>2026.02.24</t>
  </si>
  <si>
    <t>2026.02.25</t>
  </si>
  <si>
    <t>支付宝小荷包</t>
  </si>
  <si>
    <t>账户转移</t>
  </si>
  <si>
    <t>2026.02.26</t>
  </si>
  <si>
    <t>汽车分期</t>
  </si>
  <si>
    <t>2026.02.27</t>
  </si>
  <si>
    <t>2026.02.28</t>
  </si>
  <si>
    <t>淘宝闪购开瑞坦</t>
  </si>
  <si>
    <t>不锈钢水果叉</t>
  </si>
  <si>
    <t>垃圾，收到货就扔了</t>
  </si>
  <si>
    <t>橱柜收纳盒</t>
  </si>
  <si>
    <t>2026.03.01</t>
  </si>
  <si>
    <t>去比斯特购物村</t>
  </si>
  <si>
    <t>2026.03.02</t>
  </si>
  <si>
    <t>盒马泡面</t>
  </si>
  <si>
    <t>2026.03.03</t>
  </si>
  <si>
    <t>罐头冻干麻将桌布</t>
  </si>
  <si>
    <t>2026.03.04</t>
  </si>
  <si>
    <t>2026.03.05</t>
  </si>
  <si>
    <t>水草泥</t>
  </si>
  <si>
    <t>2026.03.06</t>
  </si>
  <si>
    <t>电费</t>
  </si>
  <si>
    <t>2026.03.07</t>
  </si>
  <si>
    <t>浦江瑞和城</t>
  </si>
  <si>
    <t>2026.03.08</t>
  </si>
  <si>
    <t>午饭-麦当劳</t>
  </si>
  <si>
    <t>青龙石</t>
  </si>
  <si>
    <t>迷你水兰水草</t>
  </si>
  <si>
    <t>红绿宫廷水草</t>
  </si>
  <si>
    <t>KKV内衣洗衣液</t>
  </si>
  <si>
    <t>晚饭-成都你六姐</t>
  </si>
  <si>
    <t>加个米饭</t>
  </si>
  <si>
    <t>2026.03.09</t>
  </si>
  <si>
    <t>水草镊子</t>
  </si>
  <si>
    <t>哑铃20kg</t>
  </si>
  <si>
    <t>2026.03.10</t>
  </si>
  <si>
    <t>给露露转账</t>
  </si>
  <si>
    <t>家庭转移</t>
  </si>
  <si>
    <t>2026.03.11</t>
  </si>
  <si>
    <t>转入支付宝小荷包</t>
  </si>
  <si>
    <t>2026.03.12</t>
  </si>
  <si>
    <t>公司按摩椅</t>
  </si>
  <si>
    <t>2026.03.13</t>
  </si>
  <si>
    <t>《中国居民膳食指南》</t>
  </si>
  <si>
    <t>《肌肉力量训练》</t>
  </si>
  <si>
    <t>2026.03.14</t>
  </si>
  <si>
    <t>山姆会员商店</t>
  </si>
  <si>
    <t>2026.03.15</t>
  </si>
  <si>
    <t>adidas运动裤</t>
  </si>
  <si>
    <t>已退货退款</t>
  </si>
  <si>
    <t>迪卡侬训练长袖</t>
  </si>
  <si>
    <t>2026.03.16</t>
  </si>
  <si>
    <t>黑壳虾12只</t>
  </si>
  <si>
    <t>2026.03.17</t>
  </si>
  <si>
    <t>2026.03.18</t>
  </si>
  <si>
    <t>nike free metcon6鞋</t>
  </si>
  <si>
    <t>nike acg外套、adidas运动裤</t>
  </si>
  <si>
    <t>早饭-琦琦蛋饼铺外卖</t>
  </si>
  <si>
    <t>晚饭-沙县小吃鸡腿饭外卖</t>
  </si>
  <si>
    <t>特来电充电</t>
  </si>
  <si>
    <t>2026.03.19</t>
  </si>
  <si>
    <t>2026.03.20</t>
  </si>
  <si>
    <t>淘宝退货运费</t>
  </si>
  <si>
    <t>2026.03.21</t>
  </si>
  <si>
    <t>上海浦星公路-绍兴</t>
  </si>
  <si>
    <t>鲁迅故里黄酒奶茶</t>
  </si>
  <si>
    <t>鲁迅故里臭豆腐</t>
  </si>
  <si>
    <t>2026.03.22</t>
  </si>
  <si>
    <t>兰亭景区烤肠</t>
  </si>
  <si>
    <t>东湖乌篷船票</t>
  </si>
  <si>
    <t>晚饭-猫公子烤鱼</t>
  </si>
  <si>
    <t>美团券双人套餐</t>
  </si>
  <si>
    <t>绍兴-上海浦星公路</t>
  </si>
  <si>
    <t>2026.03.23</t>
  </si>
  <si>
    <t>晚饭-鸡腿饭外卖</t>
  </si>
  <si>
    <t>2026.03.24</t>
  </si>
  <si>
    <t>2026.03.25</t>
  </si>
  <si>
    <t>晚饭-沙县鸡腿饭外卖</t>
  </si>
  <si>
    <t>2026.03.26</t>
  </si>
  <si>
    <t>鸡腿香蕉酸奶</t>
  </si>
  <si>
    <t>2026.03.27</t>
  </si>
  <si>
    <t>优衣库外套</t>
  </si>
  <si>
    <t>懒角落厨房收纳盒</t>
  </si>
  <si>
    <t>单价9.07</t>
  </si>
  <si>
    <t>2026.03.28</t>
  </si>
  <si>
    <t>顺丰到付邮费</t>
  </si>
  <si>
    <t>她买的东西填的我手机号</t>
  </si>
  <si>
    <t>2026.03.29</t>
  </si>
  <si>
    <t>2026.03.30</t>
  </si>
  <si>
    <t>西红柿蒜辣椒</t>
  </si>
  <si>
    <t>话费</t>
  </si>
  <si>
    <t>2026.03.31</t>
  </si>
  <si>
    <t>鞋刷子</t>
  </si>
  <si>
    <t>晚饭-复兴面王</t>
  </si>
  <si>
    <t>2026.04.01</t>
  </si>
  <si>
    <t>2026.04.02</t>
  </si>
  <si>
    <t>预充80，支付宝立减1.5，消费8.77，退回69.73</t>
  </si>
  <si>
    <t>2026.04.03</t>
  </si>
  <si>
    <t>2026.04.04</t>
  </si>
  <si>
    <t>午饭-金匠寿司</t>
  </si>
  <si>
    <t>2026.04.05</t>
  </si>
  <si>
    <t>2026.04.06</t>
  </si>
  <si>
    <t>2026.04.07</t>
  </si>
  <si>
    <t>预充50，消费16.61</t>
  </si>
  <si>
    <t>2026.04.08</t>
  </si>
  <si>
    <t>2026.04.09</t>
  </si>
  <si>
    <t>2026.04.10</t>
  </si>
  <si>
    <t>高速服务器E充电</t>
  </si>
  <si>
    <t>预充100，消费7.78，退92.22</t>
  </si>
  <si>
    <t>上海-上虞</t>
  </si>
  <si>
    <t>预充50，消费27.17，退22.83</t>
  </si>
  <si>
    <t>2026.04.11</t>
  </si>
  <si>
    <t>淘宝闪购买药</t>
  </si>
  <si>
    <t>布洛芬，氯雷他定</t>
  </si>
  <si>
    <t>上虞-上海</t>
  </si>
  <si>
    <t>中蔬时代买菜</t>
  </si>
  <si>
    <t>2026.04.12</t>
  </si>
  <si>
    <t>2026.04.13</t>
  </si>
  <si>
    <t>往支付宝小荷包转账</t>
  </si>
  <si>
    <t>2026.04.14</t>
  </si>
  <si>
    <t>预充50，退12.47</t>
  </si>
  <si>
    <t>2026.04.15</t>
  </si>
  <si>
    <t>2026.04.16</t>
  </si>
  <si>
    <t>2026.04.17</t>
  </si>
  <si>
    <t>周转箱60*60</t>
  </si>
  <si>
    <t>2026.04.18</t>
  </si>
  <si>
    <t>烧烤网60*18</t>
  </si>
  <si>
    <t>排烟管感应器法兰排气扇</t>
  </si>
  <si>
    <t>2026.04.19</t>
  </si>
  <si>
    <t>路口西瓜</t>
  </si>
  <si>
    <t>木工打孔钻头</t>
  </si>
  <si>
    <t>2026.04.20</t>
  </si>
  <si>
    <t>2026.04.21</t>
  </si>
  <si>
    <t>2026.04.22</t>
  </si>
  <si>
    <t>米家智能插座3</t>
  </si>
  <si>
    <t>小米人体传感器2s</t>
  </si>
  <si>
    <t>晚饭-眉州东坡</t>
  </si>
  <si>
    <t>2026.04.23</t>
  </si>
  <si>
    <t>adidas大速恒星越野鞋</t>
  </si>
  <si>
    <t>38码</t>
  </si>
  <si>
    <t>41码</t>
  </si>
  <si>
    <t>蓝月亮洗手液</t>
  </si>
  <si>
    <t>2026.04.24</t>
  </si>
  <si>
    <t>预充50，退费16.15</t>
  </si>
  <si>
    <t>2026.04.25</t>
  </si>
  <si>
    <t>午饭-乍浦一家人饭店</t>
  </si>
  <si>
    <t>adidas鞋退货运费</t>
  </si>
  <si>
    <t>九龙山度假区外蒲山</t>
  </si>
  <si>
    <t>晚饭-胜利面馆</t>
  </si>
  <si>
    <t>抖音团购单人餐</t>
  </si>
  <si>
    <t>2026.04.26</t>
  </si>
  <si>
    <t>2026.04.27</t>
  </si>
  <si>
    <t>adidas鞋换货运费</t>
  </si>
  <si>
    <t>绿联车载手机支架</t>
  </si>
  <si>
    <t>预充50，冲完退费23.13</t>
  </si>
  <si>
    <t>山姆极速达</t>
  </si>
  <si>
    <t>2026.04.28</t>
  </si>
  <si>
    <t>盒马大葱小葱蓝莓沃柑</t>
  </si>
  <si>
    <t>2026.04.29</t>
  </si>
  <si>
    <t>2026.04.30</t>
  </si>
  <si>
    <t>2026.05.01</t>
  </si>
  <si>
    <t>娃哈哈纯净水</t>
  </si>
  <si>
    <t>庆典广场自动售货机</t>
  </si>
  <si>
    <t>沁柠水、宝矿力</t>
  </si>
  <si>
    <t>南浦大桥自动售货机</t>
  </si>
  <si>
    <t>美团单车</t>
  </si>
  <si>
    <t>怪兽充电宝</t>
  </si>
  <si>
    <t>2026.05.02</t>
  </si>
  <si>
    <t>2026.05.03</t>
  </si>
  <si>
    <t>手擀面、香蕉、洋葱</t>
  </si>
  <si>
    <t>凤梨</t>
  </si>
  <si>
    <t>她妈生日发红包</t>
  </si>
  <si>
    <t>2026.05.04</t>
  </si>
  <si>
    <t>三得利乌龙茶</t>
  </si>
  <si>
    <t>浦江郊野公园自动售货机</t>
  </si>
  <si>
    <t>2026.05.05</t>
  </si>
  <si>
    <t>妙洁食品密封袋</t>
  </si>
  <si>
    <t>2026.05.06</t>
  </si>
  <si>
    <t>预充50，退10.48</t>
  </si>
  <si>
    <t>杨浦宝龙置地广场</t>
  </si>
  <si>
    <t>2026.05.07</t>
  </si>
  <si>
    <t>预充50，退31.66</t>
  </si>
  <si>
    <t>2026.05.08</t>
  </si>
  <si>
    <t>午饭-沙县小吃外卖</t>
  </si>
  <si>
    <t>玉溪</t>
  </si>
  <si>
    <t>2026.05.09</t>
  </si>
  <si>
    <t>2026.05.10</t>
  </si>
  <si>
    <t>金储广场</t>
  </si>
  <si>
    <t>午饭-费大厨</t>
  </si>
  <si>
    <t>五角场万达广场</t>
  </si>
  <si>
    <t>2026.05.11</t>
  </si>
  <si>
    <t>特斯拉前机舱防堵盖</t>
  </si>
  <si>
    <t>水培营养液</t>
  </si>
  <si>
    <t>喷壶</t>
  </si>
  <si>
    <t>三个</t>
  </si>
  <si>
    <t>内饰清洁刷子</t>
  </si>
  <si>
    <t>捷豹XEL水晶档把</t>
  </si>
  <si>
    <t>2026.05.12</t>
  </si>
  <si>
    <t>预充50，充完退费8.78</t>
  </si>
  <si>
    <t>2026.05.13</t>
  </si>
  <si>
    <t>2026.05.14</t>
  </si>
  <si>
    <t>薛之谦南京演唱会</t>
  </si>
  <si>
    <t>917票*2</t>
  </si>
  <si>
    <t>2026.05.15</t>
  </si>
  <si>
    <t>2026.05.16</t>
  </si>
  <si>
    <t>晚饭-五花肉卷</t>
  </si>
  <si>
    <t>前滩公园巷</t>
  </si>
  <si>
    <t>2026.05.17</t>
  </si>
  <si>
    <t>2026.05.18</t>
  </si>
  <si>
    <t>2026.05.19</t>
  </si>
  <si>
    <t>南京到上海火车票</t>
  </si>
  <si>
    <t>候补卧铺，已退款</t>
  </si>
  <si>
    <t>2026.05.20</t>
  </si>
  <si>
    <t>2026.05.21</t>
  </si>
  <si>
    <t>银联商务-康桥东地铁站</t>
  </si>
  <si>
    <t>高铁站出租车</t>
  </si>
  <si>
    <t>乐清-酒店</t>
  </si>
  <si>
    <t>晚饭-烟斗烧烤</t>
  </si>
  <si>
    <t>2026.05.22</t>
  </si>
  <si>
    <t>2026.05.23</t>
  </si>
  <si>
    <t>豆浆机快递运费</t>
  </si>
  <si>
    <t>乐清火车站，把豆浆机寄回家，京东快递</t>
  </si>
  <si>
    <t>雁荡山风景区联票</t>
  </si>
  <si>
    <t>大龙湫+灵岩+方洞</t>
  </si>
  <si>
    <t>灵峰</t>
  </si>
  <si>
    <t>怪兽充电</t>
  </si>
  <si>
    <t>爱电竞酒店（铂缦酒店）</t>
  </si>
  <si>
    <t>铂缦酒店押金</t>
  </si>
  <si>
    <t>已退</t>
  </si>
  <si>
    <t>火车票雁荡山到温州南</t>
  </si>
  <si>
    <t>大面筋</t>
  </si>
  <si>
    <t>烤牛肉丸</t>
  </si>
  <si>
    <t>老锅贴</t>
  </si>
  <si>
    <t>2026.05.24</t>
  </si>
  <si>
    <t>午饭-三姐妹广场路店</t>
  </si>
  <si>
    <t>糯米饭+豆浆+牛肉面</t>
  </si>
  <si>
    <t>赵一鸣饮料</t>
  </si>
  <si>
    <t>芬达+百岁山</t>
  </si>
  <si>
    <t>江心屿船票</t>
  </si>
  <si>
    <t>两人往返船票</t>
  </si>
  <si>
    <t>江心屿观光车</t>
  </si>
  <si>
    <t>两人单程</t>
  </si>
  <si>
    <t>三林南-浦江馨都</t>
  </si>
  <si>
    <t>2026.05.25</t>
  </si>
  <si>
    <t>晚饭-最山城重庆火锅</t>
  </si>
  <si>
    <t>浦江大橘邻里</t>
  </si>
  <si>
    <t>2026.05.26</t>
  </si>
  <si>
    <t>2026.05.27</t>
  </si>
  <si>
    <t>10kg</t>
  </si>
  <si>
    <t>迈丛ACE68V2+寸渊影弑</t>
  </si>
  <si>
    <t>耳机279键盘289.8</t>
  </si>
  <si>
    <t>鼠标垫皮革桌垫</t>
  </si>
  <si>
    <t>80cm*50cm</t>
  </si>
  <si>
    <t>预充50，用了平安好车主充电券满16-15，充完退费35.95</t>
  </si>
  <si>
    <t>2026.05.28</t>
  </si>
  <si>
    <t>2026.05.29</t>
  </si>
  <si>
    <t>2026.05.30</t>
  </si>
  <si>
    <t>话费充值</t>
  </si>
  <si>
    <t>扫码</t>
  </si>
  <si>
    <t>奥体中心买可乐</t>
  </si>
  <si>
    <t>2026.05.31</t>
  </si>
  <si>
    <t>松江地铁站停车场</t>
  </si>
  <si>
    <t>医院</t>
  </si>
  <si>
    <t>早饭-巴比馒头</t>
  </si>
  <si>
    <t>晚饭-李喇叭土豆粉</t>
  </si>
  <si>
    <t>2026.06.01</t>
  </si>
  <si>
    <t>预充50，用了平安好车主充电券满16-15，充完退费34.44</t>
  </si>
  <si>
    <t>2026.06.02</t>
  </si>
  <si>
    <t>星卡</t>
  </si>
  <si>
    <t>晚饭-成都你六姐外卖</t>
  </si>
  <si>
    <t>2026.06.03</t>
  </si>
  <si>
    <t>刮刮乐</t>
  </si>
  <si>
    <t>上班七周年挂彩票</t>
  </si>
  <si>
    <t>第一张中50，换一张没刮到，又买一张又没刮到，一百块没了</t>
  </si>
  <si>
    <t>晚饭-很久以前羊肉串</t>
  </si>
  <si>
    <t>2026.06.04</t>
  </si>
  <si>
    <t>晚饭-长沙粉面馆</t>
  </si>
  <si>
    <t>2026.06.05</t>
  </si>
  <si>
    <t>晚饭-潮汕牛肉火锅团购券</t>
  </si>
  <si>
    <t>2026.06.06</t>
  </si>
  <si>
    <t>5月-电费</t>
  </si>
  <si>
    <t>午饭-达美乐披萨外卖</t>
  </si>
  <si>
    <t>2026.06.07</t>
  </si>
  <si>
    <t>POP MART</t>
  </si>
  <si>
    <t>晚饭-捡角卤肉饭</t>
  </si>
  <si>
    <t>2026.06.08</t>
  </si>
  <si>
    <t>烤肉食材</t>
  </si>
  <si>
    <t>2026.06.09</t>
  </si>
  <si>
    <t>2026.06.10</t>
  </si>
  <si>
    <t>晚饭-洛阳牛肉汤</t>
  </si>
  <si>
    <t>预充80，用了平安好车主充电券，充完退费64.99</t>
  </si>
  <si>
    <t>2026.06.11</t>
  </si>
  <si>
    <t>书</t>
  </si>
  <si>
    <t>预充50，用了平安好车主充电券，充完退费40.62</t>
  </si>
  <si>
    <t>晚饭-长沙粉面馆外卖</t>
  </si>
  <si>
    <t>2026.06.12</t>
  </si>
  <si>
    <t>2026.06.13</t>
  </si>
  <si>
    <t>2026.06.14</t>
  </si>
  <si>
    <t>优衣库</t>
  </si>
  <si>
    <t>airism短袖79*2，华夫格短袖99*2，针织短袖149，外套199，满600减68，最终199+149+99+99+79+79-68=636</t>
  </si>
  <si>
    <t>COS上衣</t>
  </si>
  <si>
    <t>Nice Rice裤子</t>
  </si>
  <si>
    <t>山下有松编织包</t>
  </si>
  <si>
    <t>Adidas SFTM联名鞋</t>
  </si>
  <si>
    <t>晚饭-伊犁蓝新疆菜</t>
  </si>
  <si>
    <t>2026.06.15</t>
  </si>
  <si>
    <t>2026.06.16</t>
  </si>
  <si>
    <t>捷豹保险</t>
  </si>
  <si>
    <t>保费7684.22，投完微信返现1045</t>
  </si>
  <si>
    <t>2026.06.17</t>
  </si>
  <si>
    <t>2026.06.18</t>
  </si>
  <si>
    <t>toothfocus刷头</t>
  </si>
  <si>
    <t>2026.06.19</t>
  </si>
  <si>
    <t>puma短袖*2</t>
  </si>
  <si>
    <t>Adidas 老钱风鞋*2</t>
  </si>
  <si>
    <t>Adidas 蛇年限定鞋</t>
  </si>
  <si>
    <t>波司登冲锋衣羽绒服</t>
  </si>
  <si>
    <t>预付50，充完退费12.55</t>
  </si>
  <si>
    <t>2026.06.20</t>
  </si>
  <si>
    <t>晚饭-蝶</t>
  </si>
  <si>
    <t>火车票卧铺候补</t>
  </si>
  <si>
    <t>候补失败已退款</t>
  </si>
  <si>
    <t>2026.06.21</t>
  </si>
  <si>
    <t>午饭-成都你六姐外卖</t>
  </si>
  <si>
    <t>话费-主卡</t>
  </si>
  <si>
    <t>转账给她爸</t>
  </si>
  <si>
    <t>父亲节红包</t>
  </si>
  <si>
    <t>2026.06.22</t>
  </si>
  <si>
    <t>上海-洛阳</t>
  </si>
  <si>
    <t>2026.06.23</t>
  </si>
  <si>
    <t>2026.06.24</t>
  </si>
  <si>
    <t>2026.06.25</t>
  </si>
  <si>
    <t>玉龙雪山冰箱贴</t>
  </si>
  <si>
    <t>2026.06.26</t>
  </si>
  <si>
    <t>厨房杯架置物架</t>
  </si>
  <si>
    <t>预付50，充完退费19.42</t>
  </si>
  <si>
    <t>2026.06.27</t>
  </si>
  <si>
    <t>2026.06.28</t>
  </si>
  <si>
    <t>2026.06.29</t>
  </si>
  <si>
    <t>午饭-胡子大厨外卖</t>
  </si>
  <si>
    <t>2026.06.30</t>
  </si>
  <si>
    <t>2026.07.01</t>
  </si>
  <si>
    <t>水槽过滤网</t>
  </si>
  <si>
    <t>垃圾袋</t>
  </si>
  <si>
    <t>厨房沥水架</t>
  </si>
  <si>
    <t>预付50，充完退费40.61</t>
  </si>
  <si>
    <t>感冒灵开瑞坦</t>
  </si>
  <si>
    <t>2026.07.02</t>
  </si>
  <si>
    <t>2026.07.03</t>
  </si>
  <si>
    <t>apple music家庭版</t>
  </si>
  <si>
    <t>预付50，充完退费24.28</t>
  </si>
  <si>
    <t>晚饭-吴茂兴外卖</t>
  </si>
  <si>
    <t>2026.07.04</t>
  </si>
  <si>
    <t>高德顺风车</t>
  </si>
  <si>
    <t>青桔共享电动车</t>
  </si>
  <si>
    <t>2026.07.05</t>
  </si>
  <si>
    <t>虹桥P6停车费</t>
  </si>
  <si>
    <t>蜂巢超时费</t>
  </si>
  <si>
    <t>2026.07.06</t>
  </si>
  <si>
    <t>6月-电费</t>
  </si>
  <si>
    <t>支付宝小荷包转出到银行卡</t>
  </si>
  <si>
    <t>Anker数据线</t>
  </si>
  <si>
    <t>1.8米mfi认证</t>
  </si>
  <si>
    <t>2026.07.07</t>
  </si>
  <si>
    <t>2026.07.08</t>
  </si>
  <si>
    <t>GXG男装裤子</t>
  </si>
  <si>
    <t>买了四条回来对比，然后退了三条</t>
  </si>
  <si>
    <t>GXG运费险</t>
  </si>
  <si>
    <t>嘉彤加油站</t>
  </si>
  <si>
    <t>2026.07.09</t>
  </si>
  <si>
    <t>山姆鲜朗猫粮</t>
  </si>
  <si>
    <t>猫粮+樟脑条</t>
  </si>
  <si>
    <t>2026.07.10</t>
  </si>
  <si>
    <t>2026.07.11</t>
  </si>
  <si>
    <t>小桔充电会员</t>
  </si>
  <si>
    <t>晚饭-王抖抖砂锅土豆粉</t>
  </si>
  <si>
    <t>万达</t>
  </si>
  <si>
    <t>2026.07.12</t>
  </si>
  <si>
    <t>帮她取快递，超时了</t>
  </si>
  <si>
    <t>晚饭-王抖抖砂锅土豆粉外卖</t>
  </si>
  <si>
    <t>2026.07.13</t>
  </si>
  <si>
    <t>优衣库短袖</t>
  </si>
  <si>
    <t>2026.07.14</t>
  </si>
  <si>
    <t>2026.07.15</t>
  </si>
  <si>
    <t>基金买入008888</t>
  </si>
  <si>
    <t>预付50，充完退费29.22</t>
  </si>
  <si>
    <t>2026.07.16</t>
  </si>
  <si>
    <t>2026.07.17</t>
  </si>
  <si>
    <t>晚饭-李喇叭砂锅土豆粉</t>
  </si>
  <si>
    <t>2026.07.18</t>
  </si>
  <si>
    <t>共享电动车</t>
  </si>
  <si>
    <t>天屿山门票套票</t>
  </si>
  <si>
    <t>门票+扶梯+滑道190*2</t>
  </si>
  <si>
    <t>天屿山雪糕</t>
  </si>
  <si>
    <t>混合果汁饮料</t>
  </si>
  <si>
    <t>还完电动车买瓶饮料回酒店喝</t>
  </si>
  <si>
    <t>晚饭-我姐家小吃外卖</t>
  </si>
  <si>
    <t>2026.07.19</t>
  </si>
  <si>
    <t>早饭-饿汉小吃</t>
  </si>
  <si>
    <t>高德打车</t>
  </si>
  <si>
    <t>东南湖码头-骑龙巷</t>
  </si>
  <si>
    <t>午饭-骑龙巷浇头面</t>
  </si>
  <si>
    <t>薪酬收入明细</t>
  </si>
  <si>
    <t>月份</t>
  </si>
  <si>
    <t>基本</t>
  </si>
  <si>
    <t>绩效</t>
  </si>
  <si>
    <t>其它收入明细</t>
  </si>
  <si>
    <t>收款项</t>
  </si>
  <si>
    <t>pdd好评返现</t>
  </si>
  <si>
    <t>露露转账</t>
  </si>
  <si>
    <t>还车贷不够了</t>
  </si>
  <si>
    <t>安慕希开箱扫码</t>
  </si>
  <si>
    <t>女婿拜年红包</t>
  </si>
  <si>
    <t>舅妈</t>
  </si>
  <si>
    <t>元宝返现</t>
  </si>
  <si>
    <t>元宝</t>
  </si>
  <si>
    <t>外公红包</t>
  </si>
  <si>
    <t>爷爷</t>
  </si>
  <si>
    <t>小叔</t>
  </si>
  <si>
    <t>三叔</t>
  </si>
  <si>
    <t>二叔</t>
  </si>
  <si>
    <t>四姨婆</t>
  </si>
  <si>
    <t>小姨婆</t>
  </si>
  <si>
    <t>舅爷</t>
  </si>
  <si>
    <t>五姨婆</t>
  </si>
  <si>
    <t>三姨婆</t>
  </si>
  <si>
    <t>三姨婆儿子</t>
  </si>
  <si>
    <t>三姨婆女儿</t>
  </si>
  <si>
    <t>妈妈</t>
  </si>
  <si>
    <t>个税退费</t>
  </si>
  <si>
    <t>小桔会员退款</t>
  </si>
  <si>
    <t>小飞还钱</t>
  </si>
  <si>
    <t>小荷包转出到银行卡</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</si>
</sst>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等线"/>
      <charset val="134"/>
    </font>
    <font>
      <sz val="11"/>
      <color theme="1"/>
      <name val="等线"/>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3" borderId="0" applyNumberFormat="0" applyBorder="0" applyAlignment="0" applyProtection="0">
      <alignment vertical="center"/>
    </xf>
    <xf numFmtId="0" fontId="4" fillId="4"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5" borderId="0" applyNumberFormat="0" applyBorder="0" applyAlignment="0" applyProtection="0">
      <alignment vertical="center"/>
    </xf>
    <xf numFmtId="0" fontId="5" fillId="6" borderId="0" applyNumberFormat="0" applyBorder="0" applyAlignment="0" applyProtection="0">
      <alignment vertical="center"/>
    </xf>
    <xf numFmtId="43" fontId="0" fillId="0" borderId="0" applyFont="0" applyFill="0" applyBorder="0" applyAlignment="0" applyProtection="0">
      <alignment vertical="center"/>
    </xf>
    <xf numFmtId="0" fontId="6" fillId="7"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8" borderId="3" applyNumberFormat="0" applyFont="0" applyAlignment="0" applyProtection="0">
      <alignment vertical="center"/>
    </xf>
    <xf numFmtId="0" fontId="6" fillId="9"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10" borderId="0" applyNumberFormat="0" applyBorder="0" applyAlignment="0" applyProtection="0">
      <alignment vertical="center"/>
    </xf>
    <xf numFmtId="0" fontId="9" fillId="0" borderId="5" applyNumberFormat="0" applyFill="0" applyAlignment="0" applyProtection="0">
      <alignment vertical="center"/>
    </xf>
    <xf numFmtId="0" fontId="6" fillId="11" borderId="0" applyNumberFormat="0" applyBorder="0" applyAlignment="0" applyProtection="0">
      <alignment vertical="center"/>
    </xf>
    <xf numFmtId="0" fontId="15" fillId="12" borderId="6" applyNumberFormat="0" applyAlignment="0" applyProtection="0">
      <alignment vertical="center"/>
    </xf>
    <xf numFmtId="0" fontId="16" fillId="12" borderId="2" applyNumberFormat="0" applyAlignment="0" applyProtection="0">
      <alignment vertical="center"/>
    </xf>
    <xf numFmtId="0" fontId="17" fillId="13" borderId="7" applyNumberFormat="0" applyAlignment="0" applyProtection="0">
      <alignment vertical="center"/>
    </xf>
    <xf numFmtId="0" fontId="3" fillId="14" borderId="0" applyNumberFormat="0" applyBorder="0" applyAlignment="0" applyProtection="0">
      <alignment vertical="center"/>
    </xf>
    <xf numFmtId="0" fontId="6" fillId="15"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3" fillId="18" borderId="0" applyNumberFormat="0" applyBorder="0" applyAlignment="0" applyProtection="0">
      <alignment vertical="center"/>
    </xf>
    <xf numFmtId="0" fontId="6"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3"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3" fillId="26" borderId="0" applyNumberFormat="0" applyBorder="0" applyAlignment="0" applyProtection="0">
      <alignment vertical="center"/>
    </xf>
    <xf numFmtId="0" fontId="3" fillId="27" borderId="0" applyNumberFormat="0" applyBorder="0" applyAlignment="0" applyProtection="0">
      <alignment vertical="center"/>
    </xf>
    <xf numFmtId="0" fontId="6" fillId="28" borderId="0" applyNumberFormat="0" applyBorder="0" applyAlignment="0" applyProtection="0">
      <alignment vertical="center"/>
    </xf>
    <xf numFmtId="0" fontId="3" fillId="29" borderId="0" applyNumberFormat="0" applyBorder="0" applyAlignment="0" applyProtection="0">
      <alignment vertical="center"/>
    </xf>
    <xf numFmtId="0" fontId="6" fillId="30" borderId="0" applyNumberFormat="0" applyBorder="0" applyAlignment="0" applyProtection="0">
      <alignment vertical="center"/>
    </xf>
    <xf numFmtId="0" fontId="6" fillId="31" borderId="0" applyNumberFormat="0" applyBorder="0" applyAlignment="0" applyProtection="0">
      <alignment vertical="center"/>
    </xf>
    <xf numFmtId="0" fontId="3" fillId="32" borderId="0" applyNumberFormat="0" applyBorder="0" applyAlignment="0" applyProtection="0">
      <alignment vertical="center"/>
    </xf>
    <xf numFmtId="0" fontId="6" fillId="33" borderId="0" applyNumberFormat="0" applyBorder="0" applyAlignment="0" applyProtection="0">
      <alignment vertical="center"/>
    </xf>
  </cellStyleXfs>
  <cellXfs count="10">
    <xf numFmtId="0" fontId="0" fillId="0" borderId="0" xfId="0">
      <alignment vertical="center"/>
    </xf>
    <xf numFmtId="0" fontId="0" fillId="0" borderId="1" xfId="0" applyFont="1" applyBorder="1">
      <alignment vertical="center"/>
    </xf>
    <xf numFmtId="58" fontId="0" fillId="0" borderId="1" xfId="0" applyNumberFormat="1" applyBorder="1">
      <alignment vertical="center"/>
    </xf>
    <xf numFmtId="0" fontId="0" fillId="0" borderId="1" xfId="0" applyBorder="1">
      <alignment vertical="center"/>
    </xf>
    <xf numFmtId="58" fontId="0" fillId="0" borderId="0" xfId="0" applyNumberFormat="1">
      <alignment vertical="center"/>
    </xf>
    <xf numFmtId="0" fontId="1" fillId="0" borderId="1" xfId="0" applyFont="1" applyBorder="1">
      <alignment vertical="center"/>
    </xf>
    <xf numFmtId="0" fontId="2" fillId="0" borderId="0" xfId="0" applyFont="1">
      <alignment vertical="center"/>
    </xf>
    <xf numFmtId="0" fontId="1" fillId="0" borderId="1" xfId="0" applyFont="1" applyFill="1" applyBorder="1" applyAlignment="1">
      <alignment vertical="center"/>
    </xf>
    <xf numFmtId="0" fontId="2" fillId="0" borderId="1" xfId="0" applyFont="1" applyBorder="1">
      <alignment vertical="center"/>
    </xf>
    <xf numFmtId="0" fontId="2" fillId="2" borderId="1" xfId="0" applyFont="1" applyFill="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5">
    <dxf>
      <fill>
        <patternFill patternType="solid">
          <bgColor rgb="FFFFFF0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wfli\Documents\&#35760;&#36134;2026.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2026.01"/>
      <sheetName val="2026.02"/>
      <sheetName val="2026.03"/>
      <sheetName val="2026.04"/>
      <sheetName val="2026.05"/>
      <sheetName val="2026.06"/>
      <sheetName val="2026.07"/>
      <sheetName val="2026.08"/>
      <sheetName val="2026.09"/>
      <sheetName val="2026.10"/>
      <sheetName val="2026.11"/>
      <sheetName val="2026.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33"/>
  <sheetViews>
    <sheetView topLeftCell="A48" workbookViewId="0">
      <selection activeCell="G12" sqref="G12"/>
    </sheetView>
  </sheetViews>
  <sheetFormatPr defaultColWidth="9" defaultRowHeight="16.5" customHeight="1" outlineLevelCol="4"/>
  <cols>
    <col min="1" max="1" width="11.5092592592593" style="6" customWidth="1"/>
    <col min="2" max="2" width="19.5092592592593" style="6" customWidth="1"/>
    <col min="3" max="4" width="11.5092592592593" style="6" customWidth="1"/>
    <col min="5" max="5" width="23.5092592592593" style="6" customWidth="1"/>
    <col min="6" max="16384" width="9" style="6"/>
  </cols>
  <sheetData>
    <row r="1" customHeight="1" spans="1:5">
      <c r="A1" s="7" t="s">
        <v>0</v>
      </c>
      <c r="B1" s="7" t="s">
        <v>1</v>
      </c>
      <c r="C1" s="7" t="s">
        <v>2</v>
      </c>
      <c r="D1" s="7" t="s">
        <v>3</v>
      </c>
      <c r="E1" s="7" t="s">
        <v>4</v>
      </c>
    </row>
    <row r="2" customHeight="1" spans="1:5">
      <c r="A2" s="9" t="s">
        <v>5</v>
      </c>
      <c r="B2" s="8"/>
      <c r="C2" s="8"/>
      <c r="D2" s="8"/>
      <c r="E2" s="8"/>
    </row>
    <row r="3" customHeight="1" spans="1:5">
      <c r="A3" s="9"/>
      <c r="B3" s="8"/>
      <c r="C3" s="8"/>
      <c r="D3" s="8"/>
      <c r="E3" s="8"/>
    </row>
    <row r="4" customHeight="1" spans="1:5">
      <c r="A4" s="9" t="s">
        <v>6</v>
      </c>
      <c r="B4" s="8" t="s">
        <v>7</v>
      </c>
      <c r="C4" s="8" t="s">
        <v>8</v>
      </c>
      <c r="D4" s="8">
        <v>1200</v>
      </c>
      <c r="E4" s="8" t="s">
        <v>9</v>
      </c>
    </row>
    <row r="5" customHeight="1" spans="1:5">
      <c r="A5" s="9"/>
      <c r="B5" s="8"/>
      <c r="C5" s="8"/>
      <c r="D5" s="8"/>
      <c r="E5" s="8"/>
    </row>
    <row r="6" customHeight="1" spans="1:5">
      <c r="A6" s="9" t="s">
        <v>10</v>
      </c>
      <c r="B6" s="8" t="s">
        <v>11</v>
      </c>
      <c r="C6" s="8" t="s">
        <v>12</v>
      </c>
      <c r="D6" s="8">
        <v>0.99</v>
      </c>
      <c r="E6" s="8"/>
    </row>
    <row r="7" customHeight="1" spans="1:5">
      <c r="A7" s="9"/>
      <c r="B7" s="8" t="s">
        <v>13</v>
      </c>
      <c r="C7" s="8" t="s">
        <v>14</v>
      </c>
      <c r="D7" s="8">
        <v>223.5</v>
      </c>
      <c r="E7" s="8" t="s">
        <v>15</v>
      </c>
    </row>
    <row r="8" customHeight="1" spans="1:5">
      <c r="A8" s="8" t="s">
        <v>16</v>
      </c>
      <c r="B8" s="8" t="s">
        <v>17</v>
      </c>
      <c r="C8" s="8" t="s">
        <v>12</v>
      </c>
      <c r="D8" s="8">
        <v>38.76</v>
      </c>
      <c r="E8" s="8"/>
    </row>
    <row r="9" customHeight="1" spans="1:5">
      <c r="A9" s="8"/>
      <c r="B9" s="8" t="s">
        <v>18</v>
      </c>
      <c r="C9" s="8" t="s">
        <v>18</v>
      </c>
      <c r="D9" s="8">
        <v>7</v>
      </c>
      <c r="E9" s="8"/>
    </row>
    <row r="10" customHeight="1" spans="1:5">
      <c r="A10" s="8"/>
      <c r="B10" s="8" t="s">
        <v>19</v>
      </c>
      <c r="C10" s="8" t="s">
        <v>20</v>
      </c>
      <c r="D10" s="8">
        <v>12</v>
      </c>
      <c r="E10" s="8"/>
    </row>
    <row r="11" customHeight="1" spans="1:5">
      <c r="A11" s="8"/>
      <c r="B11" s="8"/>
      <c r="C11" s="8"/>
      <c r="D11" s="8"/>
      <c r="E11" s="8"/>
    </row>
    <row r="12" customHeight="1" spans="1:5">
      <c r="A12" s="8" t="s">
        <v>21</v>
      </c>
      <c r="B12" s="8" t="s">
        <v>18</v>
      </c>
      <c r="C12" s="8" t="s">
        <v>18</v>
      </c>
      <c r="D12" s="8">
        <v>7</v>
      </c>
      <c r="E12" s="8"/>
    </row>
    <row r="13" customHeight="1" spans="1:5">
      <c r="A13" s="8"/>
      <c r="B13" s="8" t="s">
        <v>22</v>
      </c>
      <c r="C13" s="8" t="s">
        <v>20</v>
      </c>
      <c r="D13" s="8">
        <v>184.8</v>
      </c>
      <c r="E13" s="8"/>
    </row>
    <row r="14" customHeight="1" spans="1:5">
      <c r="A14" s="8"/>
      <c r="B14" s="8" t="s">
        <v>17</v>
      </c>
      <c r="C14" s="8" t="s">
        <v>12</v>
      </c>
      <c r="D14" s="8">
        <v>20.59</v>
      </c>
      <c r="E14" s="8"/>
    </row>
    <row r="15" customHeight="1" spans="1:5">
      <c r="A15" s="8"/>
      <c r="B15" s="8" t="s">
        <v>23</v>
      </c>
      <c r="C15" s="8" t="s">
        <v>14</v>
      </c>
      <c r="D15" s="8">
        <v>37</v>
      </c>
      <c r="E15" s="8"/>
    </row>
    <row r="16" customHeight="1" spans="1:5">
      <c r="A16" s="8" t="s">
        <v>24</v>
      </c>
      <c r="B16" s="8" t="s">
        <v>25</v>
      </c>
      <c r="C16" s="8" t="s">
        <v>26</v>
      </c>
      <c r="D16" s="8">
        <v>19.95</v>
      </c>
      <c r="E16" s="8"/>
    </row>
    <row r="17" customHeight="1" spans="1:5">
      <c r="A17" s="8"/>
      <c r="B17" s="8" t="s">
        <v>27</v>
      </c>
      <c r="C17" s="8" t="s">
        <v>27</v>
      </c>
      <c r="D17" s="8">
        <v>200</v>
      </c>
      <c r="E17" s="8"/>
    </row>
    <row r="18" customHeight="1" spans="1:5">
      <c r="A18" s="8"/>
      <c r="B18" s="8" t="s">
        <v>28</v>
      </c>
      <c r="C18" s="8" t="s">
        <v>14</v>
      </c>
      <c r="D18" s="8">
        <v>23.89</v>
      </c>
      <c r="E18" s="8"/>
    </row>
    <row r="19" customHeight="1" spans="1:5">
      <c r="A19" s="8" t="s">
        <v>29</v>
      </c>
      <c r="B19" s="8" t="s">
        <v>30</v>
      </c>
      <c r="C19" s="8" t="s">
        <v>31</v>
      </c>
      <c r="D19" s="8">
        <v>5.02</v>
      </c>
      <c r="E19" s="8"/>
    </row>
    <row r="20" customHeight="1" spans="1:5">
      <c r="A20" s="8"/>
      <c r="B20" s="8" t="s">
        <v>32</v>
      </c>
      <c r="C20" s="8" t="s">
        <v>31</v>
      </c>
      <c r="D20" s="8">
        <v>11.88</v>
      </c>
      <c r="E20" s="8"/>
    </row>
    <row r="21" customHeight="1" spans="1:5">
      <c r="A21" s="8"/>
      <c r="B21" s="8" t="s">
        <v>18</v>
      </c>
      <c r="C21" s="8" t="s">
        <v>18</v>
      </c>
      <c r="D21" s="8">
        <v>7</v>
      </c>
      <c r="E21" s="8"/>
    </row>
    <row r="22" customHeight="1" spans="1:5">
      <c r="A22" s="8"/>
      <c r="B22" s="8" t="s">
        <v>17</v>
      </c>
      <c r="C22" s="8" t="s">
        <v>12</v>
      </c>
      <c r="D22" s="8">
        <v>1.03</v>
      </c>
      <c r="E22" s="8"/>
    </row>
    <row r="23" customHeight="1" spans="1:5">
      <c r="A23" s="8"/>
      <c r="B23" s="8" t="s">
        <v>17</v>
      </c>
      <c r="C23" s="8" t="s">
        <v>12</v>
      </c>
      <c r="D23" s="8">
        <v>0.03</v>
      </c>
      <c r="E23" s="8"/>
    </row>
    <row r="24" customHeight="1" spans="1:5">
      <c r="A24" s="8"/>
      <c r="B24" s="8" t="s">
        <v>17</v>
      </c>
      <c r="C24" s="8" t="s">
        <v>12</v>
      </c>
      <c r="D24" s="8">
        <v>15.71</v>
      </c>
      <c r="E24" s="8"/>
    </row>
    <row r="25" customHeight="1" spans="1:5">
      <c r="A25" s="8"/>
      <c r="B25" s="8" t="s">
        <v>33</v>
      </c>
      <c r="C25" s="8" t="s">
        <v>14</v>
      </c>
      <c r="D25" s="8">
        <v>39</v>
      </c>
      <c r="E25" s="8"/>
    </row>
    <row r="26" customHeight="1" spans="1:5">
      <c r="A26" s="8" t="s">
        <v>34</v>
      </c>
      <c r="B26" s="8" t="s">
        <v>35</v>
      </c>
      <c r="C26" s="8" t="s">
        <v>36</v>
      </c>
      <c r="D26" s="8">
        <v>10</v>
      </c>
      <c r="E26" s="8"/>
    </row>
    <row r="27" customHeight="1" spans="1:5">
      <c r="A27" s="8"/>
      <c r="B27" s="8" t="s">
        <v>37</v>
      </c>
      <c r="C27" s="8" t="s">
        <v>18</v>
      </c>
      <c r="D27" s="8">
        <v>7</v>
      </c>
      <c r="E27" s="8"/>
    </row>
    <row r="28" customHeight="1" spans="1:5">
      <c r="A28" s="8"/>
      <c r="B28" s="8" t="s">
        <v>38</v>
      </c>
      <c r="C28" s="8" t="s">
        <v>14</v>
      </c>
      <c r="D28" s="8">
        <v>59.99</v>
      </c>
      <c r="E28" s="8" t="s">
        <v>39</v>
      </c>
    </row>
    <row r="29" customHeight="1" spans="1:5">
      <c r="A29" s="8" t="s">
        <v>40</v>
      </c>
      <c r="B29" s="8" t="s">
        <v>41</v>
      </c>
      <c r="C29" s="8" t="s">
        <v>42</v>
      </c>
      <c r="D29" s="8">
        <v>28.84</v>
      </c>
      <c r="E29" s="8"/>
    </row>
    <row r="30" customHeight="1" spans="1:5">
      <c r="A30" s="8"/>
      <c r="B30" s="8" t="s">
        <v>43</v>
      </c>
      <c r="C30" s="8" t="s">
        <v>44</v>
      </c>
      <c r="D30" s="8">
        <v>12</v>
      </c>
      <c r="E30" s="8"/>
    </row>
    <row r="31" customHeight="1" spans="1:5">
      <c r="A31" s="8"/>
      <c r="B31" s="8" t="s">
        <v>35</v>
      </c>
      <c r="C31" s="8" t="s">
        <v>36</v>
      </c>
      <c r="D31" s="8">
        <v>5</v>
      </c>
      <c r="E31" s="8"/>
    </row>
    <row r="32" customHeight="1" spans="1:5">
      <c r="A32" s="8"/>
      <c r="B32" s="8" t="s">
        <v>37</v>
      </c>
      <c r="C32" s="8" t="s">
        <v>18</v>
      </c>
      <c r="D32" s="8">
        <v>7</v>
      </c>
      <c r="E32" s="8"/>
    </row>
    <row r="33" customHeight="1" spans="1:5">
      <c r="A33" s="8"/>
      <c r="B33" s="8" t="s">
        <v>45</v>
      </c>
      <c r="C33" s="8" t="s">
        <v>44</v>
      </c>
      <c r="D33" s="8">
        <v>19.1</v>
      </c>
      <c r="E33" s="8"/>
    </row>
    <row r="34" customHeight="1" spans="1:5">
      <c r="A34" s="8"/>
      <c r="B34" s="8" t="s">
        <v>46</v>
      </c>
      <c r="C34" s="8" t="s">
        <v>44</v>
      </c>
      <c r="D34" s="8">
        <v>7.9</v>
      </c>
      <c r="E34" s="8"/>
    </row>
    <row r="35" customHeight="1" spans="1:5">
      <c r="A35" s="8"/>
      <c r="B35" s="8" t="s">
        <v>47</v>
      </c>
      <c r="C35" s="8" t="s">
        <v>44</v>
      </c>
      <c r="D35" s="8">
        <v>3.7</v>
      </c>
      <c r="E35" s="8"/>
    </row>
    <row r="36" customHeight="1" spans="1:5">
      <c r="A36" s="8"/>
      <c r="B36" s="8" t="s">
        <v>48</v>
      </c>
      <c r="C36" s="8" t="s">
        <v>44</v>
      </c>
      <c r="D36" s="8">
        <v>8.7</v>
      </c>
      <c r="E36" s="8"/>
    </row>
    <row r="37" customHeight="1" spans="1:5">
      <c r="A37" s="8"/>
      <c r="B37" s="8" t="s">
        <v>18</v>
      </c>
      <c r="C37" s="8" t="s">
        <v>18</v>
      </c>
      <c r="D37" s="8">
        <v>7</v>
      </c>
      <c r="E37" s="8"/>
    </row>
    <row r="38" customHeight="1" spans="1:5">
      <c r="A38" s="8" t="s">
        <v>49</v>
      </c>
      <c r="B38" s="8" t="s">
        <v>18</v>
      </c>
      <c r="C38" s="8" t="s">
        <v>18</v>
      </c>
      <c r="D38" s="8">
        <v>7</v>
      </c>
      <c r="E38" s="8"/>
    </row>
    <row r="39" customHeight="1" spans="1:5">
      <c r="A39" s="8"/>
      <c r="B39" s="8" t="s">
        <v>50</v>
      </c>
      <c r="C39" s="8" t="s">
        <v>51</v>
      </c>
      <c r="D39" s="8">
        <v>527.74</v>
      </c>
      <c r="E39" s="8"/>
    </row>
    <row r="40" customHeight="1" spans="1:5">
      <c r="A40" s="8"/>
      <c r="B40" s="8" t="s">
        <v>52</v>
      </c>
      <c r="C40" s="8" t="s">
        <v>53</v>
      </c>
      <c r="D40" s="8">
        <f>62.78-0.18</f>
        <v>62.6</v>
      </c>
      <c r="E40" s="8" t="s">
        <v>54</v>
      </c>
    </row>
    <row r="41" customHeight="1" spans="1:5">
      <c r="A41" s="8"/>
      <c r="B41" s="8" t="s">
        <v>18</v>
      </c>
      <c r="C41" s="8" t="s">
        <v>18</v>
      </c>
      <c r="D41" s="8">
        <v>7</v>
      </c>
      <c r="E41" s="8"/>
    </row>
    <row r="42" customHeight="1" spans="1:5">
      <c r="A42" s="8" t="s">
        <v>55</v>
      </c>
      <c r="B42" s="8" t="s">
        <v>56</v>
      </c>
      <c r="C42" s="8"/>
      <c r="D42" s="8">
        <v>2524.72</v>
      </c>
      <c r="E42" s="8"/>
    </row>
    <row r="43" customHeight="1" spans="1:5">
      <c r="A43" s="8"/>
      <c r="B43" s="8" t="s">
        <v>36</v>
      </c>
      <c r="C43" s="8" t="s">
        <v>36</v>
      </c>
      <c r="D43" s="8">
        <v>10</v>
      </c>
      <c r="E43" s="8" t="s">
        <v>57</v>
      </c>
    </row>
    <row r="44" customHeight="1" spans="1:5">
      <c r="A44" s="8"/>
      <c r="B44" s="8" t="s">
        <v>58</v>
      </c>
      <c r="C44" s="8" t="s">
        <v>31</v>
      </c>
      <c r="D44" s="8">
        <v>1500</v>
      </c>
      <c r="E44" s="8"/>
    </row>
    <row r="45" customHeight="1" spans="1:5">
      <c r="A45" s="8"/>
      <c r="B45" s="8" t="s">
        <v>59</v>
      </c>
      <c r="C45" s="8" t="s">
        <v>14</v>
      </c>
      <c r="D45" s="8">
        <v>26</v>
      </c>
      <c r="E45" s="8" t="s">
        <v>60</v>
      </c>
    </row>
    <row r="46" customHeight="1" spans="1:5">
      <c r="A46" s="8"/>
      <c r="B46" s="8" t="s">
        <v>61</v>
      </c>
      <c r="C46" s="8" t="s">
        <v>26</v>
      </c>
      <c r="D46" s="8">
        <v>588</v>
      </c>
      <c r="E46" s="8" t="s">
        <v>62</v>
      </c>
    </row>
    <row r="47" customHeight="1" spans="1:5">
      <c r="A47" s="8"/>
      <c r="B47" s="8" t="s">
        <v>63</v>
      </c>
      <c r="C47" s="8" t="s">
        <v>44</v>
      </c>
      <c r="D47" s="8">
        <v>1</v>
      </c>
      <c r="E47" s="8"/>
    </row>
    <row r="48" customHeight="1" spans="1:5">
      <c r="A48" s="8" t="s">
        <v>64</v>
      </c>
      <c r="B48" s="8" t="s">
        <v>18</v>
      </c>
      <c r="C48" s="8" t="s">
        <v>18</v>
      </c>
      <c r="D48" s="8">
        <v>7</v>
      </c>
      <c r="E48" s="8"/>
    </row>
    <row r="49" customHeight="1" spans="1:5">
      <c r="A49" s="8"/>
      <c r="B49" s="8" t="s">
        <v>36</v>
      </c>
      <c r="C49" s="8" t="s">
        <v>36</v>
      </c>
      <c r="D49" s="8">
        <v>23</v>
      </c>
      <c r="E49" s="8" t="s">
        <v>65</v>
      </c>
    </row>
    <row r="50" customHeight="1" spans="1:5">
      <c r="A50" s="8"/>
      <c r="B50" s="8" t="s">
        <v>36</v>
      </c>
      <c r="C50" s="8" t="s">
        <v>36</v>
      </c>
      <c r="D50" s="8">
        <v>23</v>
      </c>
      <c r="E50" s="8" t="s">
        <v>66</v>
      </c>
    </row>
    <row r="51" customHeight="1" spans="1:5">
      <c r="A51" s="8"/>
      <c r="B51" s="8" t="s">
        <v>12</v>
      </c>
      <c r="C51" s="8" t="s">
        <v>12</v>
      </c>
      <c r="D51" s="8">
        <v>52.1</v>
      </c>
      <c r="E51" s="8"/>
    </row>
    <row r="52" customHeight="1" spans="1:5">
      <c r="A52" s="8" t="s">
        <v>67</v>
      </c>
      <c r="B52" s="8" t="s">
        <v>36</v>
      </c>
      <c r="C52" s="8" t="s">
        <v>36</v>
      </c>
      <c r="D52" s="8">
        <v>10</v>
      </c>
      <c r="E52" s="8"/>
    </row>
    <row r="53" customHeight="1" spans="1:5">
      <c r="A53" s="8"/>
      <c r="B53" s="8" t="s">
        <v>18</v>
      </c>
      <c r="C53" s="8" t="s">
        <v>18</v>
      </c>
      <c r="D53" s="8">
        <v>7</v>
      </c>
      <c r="E53" s="8"/>
    </row>
    <row r="54" customHeight="1" spans="1:5">
      <c r="A54" s="8"/>
      <c r="B54" s="8" t="s">
        <v>18</v>
      </c>
      <c r="C54" s="8" t="s">
        <v>18</v>
      </c>
      <c r="D54" s="8">
        <v>3</v>
      </c>
      <c r="E54" s="8"/>
    </row>
    <row r="55" customHeight="1" spans="1:5">
      <c r="A55" s="8" t="s">
        <v>68</v>
      </c>
      <c r="B55" s="8" t="s">
        <v>18</v>
      </c>
      <c r="C55" s="8" t="s">
        <v>18</v>
      </c>
      <c r="D55" s="8">
        <v>7</v>
      </c>
      <c r="E55" s="8"/>
    </row>
    <row r="56" customHeight="1" spans="1:5">
      <c r="A56" s="8"/>
      <c r="B56" s="8"/>
      <c r="C56" s="8"/>
      <c r="D56" s="8"/>
      <c r="E56" s="8"/>
    </row>
    <row r="57" customHeight="1" spans="1:5">
      <c r="A57" s="8" t="s">
        <v>69</v>
      </c>
      <c r="B57" s="8" t="s">
        <v>18</v>
      </c>
      <c r="C57" s="8" t="s">
        <v>18</v>
      </c>
      <c r="D57" s="8">
        <v>7</v>
      </c>
      <c r="E57" s="8"/>
    </row>
    <row r="58" customHeight="1" spans="1:5">
      <c r="A58" s="8"/>
      <c r="B58" s="8" t="s">
        <v>70</v>
      </c>
      <c r="C58" s="8" t="s">
        <v>44</v>
      </c>
      <c r="D58" s="8">
        <v>6.32</v>
      </c>
      <c r="E58" s="8"/>
    </row>
    <row r="59" customHeight="1" spans="1:5">
      <c r="A59" s="8"/>
      <c r="B59" s="8" t="s">
        <v>12</v>
      </c>
      <c r="C59" s="8" t="s">
        <v>12</v>
      </c>
      <c r="D59" s="8">
        <v>18.87</v>
      </c>
      <c r="E59" s="8"/>
    </row>
    <row r="60" customHeight="1" spans="1:5">
      <c r="A60" s="8" t="s">
        <v>71</v>
      </c>
      <c r="B60" s="8" t="s">
        <v>36</v>
      </c>
      <c r="C60" s="8" t="s">
        <v>36</v>
      </c>
      <c r="D60" s="8">
        <v>15</v>
      </c>
      <c r="E60" s="8"/>
    </row>
    <row r="61" customHeight="1" spans="1:5">
      <c r="A61" s="8"/>
      <c r="B61" s="8" t="s">
        <v>18</v>
      </c>
      <c r="C61" s="8" t="s">
        <v>18</v>
      </c>
      <c r="D61" s="8">
        <v>7</v>
      </c>
      <c r="E61" s="8"/>
    </row>
    <row r="62" customHeight="1" spans="1:5">
      <c r="A62" s="8"/>
      <c r="B62" s="8" t="s">
        <v>18</v>
      </c>
      <c r="C62" s="8" t="s">
        <v>18</v>
      </c>
      <c r="D62" s="8">
        <v>3</v>
      </c>
      <c r="E62" s="8"/>
    </row>
    <row r="63" customHeight="1" spans="1:5">
      <c r="A63" s="8"/>
      <c r="B63" s="8" t="s">
        <v>72</v>
      </c>
      <c r="C63" s="8" t="s">
        <v>73</v>
      </c>
      <c r="D63" s="8">
        <v>58</v>
      </c>
      <c r="E63" s="8"/>
    </row>
    <row r="64" customHeight="1" spans="1:5">
      <c r="A64" s="8"/>
      <c r="B64" s="8" t="s">
        <v>74</v>
      </c>
      <c r="C64" s="8" t="s">
        <v>14</v>
      </c>
      <c r="D64" s="8">
        <v>16</v>
      </c>
      <c r="E64" s="8"/>
    </row>
    <row r="65" customHeight="1" spans="1:5">
      <c r="A65" s="8"/>
      <c r="B65" s="8" t="s">
        <v>75</v>
      </c>
      <c r="C65" s="8" t="s">
        <v>76</v>
      </c>
      <c r="D65" s="8">
        <v>460</v>
      </c>
      <c r="E65" s="8"/>
    </row>
    <row r="66" customHeight="1" spans="1:5">
      <c r="A66" s="8" t="s">
        <v>77</v>
      </c>
      <c r="B66" s="8" t="s">
        <v>78</v>
      </c>
      <c r="C66" s="8" t="s">
        <v>14</v>
      </c>
      <c r="D66" s="8">
        <v>11.8</v>
      </c>
      <c r="E66" s="8"/>
    </row>
    <row r="67" customHeight="1" spans="1:5">
      <c r="A67" s="8"/>
      <c r="B67" s="8" t="s">
        <v>79</v>
      </c>
      <c r="C67" s="8" t="s">
        <v>26</v>
      </c>
      <c r="D67" s="8">
        <v>16.3</v>
      </c>
      <c r="E67" s="8"/>
    </row>
    <row r="68" customHeight="1" spans="1:5">
      <c r="A68" s="8"/>
      <c r="B68" s="8" t="s">
        <v>80</v>
      </c>
      <c r="C68" s="8" t="s">
        <v>14</v>
      </c>
      <c r="D68" s="8">
        <v>76</v>
      </c>
      <c r="E68" s="8"/>
    </row>
    <row r="69" customHeight="1" spans="1:5">
      <c r="A69" s="8"/>
      <c r="B69" s="8" t="s">
        <v>81</v>
      </c>
      <c r="C69" s="8" t="s">
        <v>76</v>
      </c>
      <c r="D69" s="8">
        <v>126</v>
      </c>
      <c r="E69" s="8"/>
    </row>
    <row r="70" customHeight="1" spans="1:5">
      <c r="A70" s="8"/>
      <c r="B70" s="8" t="s">
        <v>82</v>
      </c>
      <c r="C70" s="8" t="s">
        <v>76</v>
      </c>
      <c r="D70" s="8">
        <f>30-30</f>
        <v>0</v>
      </c>
      <c r="E70" s="8" t="s">
        <v>83</v>
      </c>
    </row>
    <row r="71" customHeight="1" spans="1:5">
      <c r="A71" s="8"/>
      <c r="B71" s="8" t="s">
        <v>84</v>
      </c>
      <c r="C71" s="8" t="s">
        <v>14</v>
      </c>
      <c r="D71" s="8">
        <v>122</v>
      </c>
      <c r="E71" s="8"/>
    </row>
    <row r="72" customHeight="1" spans="1:5">
      <c r="A72" s="8" t="s">
        <v>85</v>
      </c>
      <c r="B72" s="8" t="s">
        <v>86</v>
      </c>
      <c r="C72" s="8" t="s">
        <v>14</v>
      </c>
      <c r="D72" s="8">
        <v>6</v>
      </c>
      <c r="E72" s="8" t="s">
        <v>87</v>
      </c>
    </row>
    <row r="73" customHeight="1" spans="1:5">
      <c r="A73" s="8"/>
      <c r="B73" s="8" t="s">
        <v>88</v>
      </c>
      <c r="C73" s="8" t="s">
        <v>14</v>
      </c>
      <c r="D73" s="8">
        <v>7.5</v>
      </c>
      <c r="E73" s="8" t="s">
        <v>87</v>
      </c>
    </row>
    <row r="74" customHeight="1" spans="1:5">
      <c r="A74" s="8"/>
      <c r="B74" s="8" t="s">
        <v>89</v>
      </c>
      <c r="C74" s="8" t="s">
        <v>90</v>
      </c>
      <c r="D74" s="8">
        <v>49</v>
      </c>
      <c r="E74" s="8" t="s">
        <v>91</v>
      </c>
    </row>
    <row r="75" customHeight="1" spans="1:5">
      <c r="A75" s="8"/>
      <c r="B75" s="8" t="s">
        <v>92</v>
      </c>
      <c r="C75" s="8" t="s">
        <v>14</v>
      </c>
      <c r="D75" s="8">
        <v>2</v>
      </c>
      <c r="E75" s="8" t="s">
        <v>93</v>
      </c>
    </row>
    <row r="76" customHeight="1" spans="1:5">
      <c r="A76" s="8"/>
      <c r="B76" s="8" t="s">
        <v>94</v>
      </c>
      <c r="C76" s="8" t="s">
        <v>14</v>
      </c>
      <c r="D76" s="8">
        <v>137</v>
      </c>
      <c r="E76" s="8" t="s">
        <v>95</v>
      </c>
    </row>
    <row r="77" customHeight="1" spans="1:5">
      <c r="A77" s="8" t="s">
        <v>96</v>
      </c>
      <c r="B77" s="8" t="s">
        <v>79</v>
      </c>
      <c r="C77" s="8" t="s">
        <v>26</v>
      </c>
      <c r="D77" s="8">
        <v>11.1</v>
      </c>
      <c r="E77" s="8" t="s">
        <v>97</v>
      </c>
    </row>
    <row r="78" customHeight="1" spans="1:5">
      <c r="A78" s="8"/>
      <c r="B78" s="8" t="s">
        <v>98</v>
      </c>
      <c r="C78" s="8" t="s">
        <v>26</v>
      </c>
      <c r="D78" s="8">
        <v>3.5</v>
      </c>
      <c r="E78" s="8" t="s">
        <v>99</v>
      </c>
    </row>
    <row r="79" customHeight="1" spans="1:5">
      <c r="A79" s="8"/>
      <c r="B79" s="8" t="s">
        <v>100</v>
      </c>
      <c r="C79" s="8" t="s">
        <v>14</v>
      </c>
      <c r="D79" s="8">
        <v>17.1</v>
      </c>
      <c r="E79" s="8" t="s">
        <v>101</v>
      </c>
    </row>
    <row r="80" customHeight="1" spans="1:5">
      <c r="A80" s="8" t="s">
        <v>102</v>
      </c>
      <c r="B80" s="8" t="s">
        <v>103</v>
      </c>
      <c r="C80" s="8" t="s">
        <v>104</v>
      </c>
      <c r="D80" s="3">
        <v>5436.84</v>
      </c>
      <c r="E80" s="8"/>
    </row>
    <row r="81" customHeight="1" spans="1:5">
      <c r="A81" s="8"/>
      <c r="B81" s="8" t="s">
        <v>36</v>
      </c>
      <c r="C81" s="8" t="s">
        <v>36</v>
      </c>
      <c r="D81">
        <v>20</v>
      </c>
      <c r="E81" s="8"/>
    </row>
    <row r="82" customHeight="1" spans="1:5">
      <c r="A82" s="8"/>
      <c r="B82" s="8" t="s">
        <v>18</v>
      </c>
      <c r="C82" s="8" t="s">
        <v>18</v>
      </c>
      <c r="D82" s="8">
        <v>7</v>
      </c>
      <c r="E82" s="8"/>
    </row>
    <row r="83" customHeight="1" spans="1:5">
      <c r="A83" s="8"/>
      <c r="B83" s="8" t="s">
        <v>27</v>
      </c>
      <c r="C83" s="8" t="s">
        <v>27</v>
      </c>
      <c r="D83" s="8">
        <v>407.39</v>
      </c>
      <c r="E83" s="8"/>
    </row>
    <row r="84" customHeight="1" spans="1:5">
      <c r="A84" s="8" t="s">
        <v>105</v>
      </c>
      <c r="B84" s="8" t="s">
        <v>12</v>
      </c>
      <c r="C84" s="8" t="s">
        <v>12</v>
      </c>
      <c r="D84" s="8">
        <v>23.22</v>
      </c>
      <c r="E84" s="8"/>
    </row>
    <row r="85" customHeight="1" spans="1:5">
      <c r="A85" s="8"/>
      <c r="B85" s="8" t="s">
        <v>18</v>
      </c>
      <c r="C85" s="8" t="s">
        <v>18</v>
      </c>
      <c r="D85" s="8">
        <v>7</v>
      </c>
      <c r="E85" s="8"/>
    </row>
    <row r="86" customHeight="1" spans="1:5">
      <c r="A86" s="8"/>
      <c r="B86" s="8" t="s">
        <v>106</v>
      </c>
      <c r="C86" s="8" t="s">
        <v>14</v>
      </c>
      <c r="D86" s="8">
        <v>18</v>
      </c>
      <c r="E86" s="8"/>
    </row>
    <row r="87" customHeight="1" spans="1:5">
      <c r="A87" s="8" t="s">
        <v>107</v>
      </c>
      <c r="B87" s="8" t="s">
        <v>12</v>
      </c>
      <c r="C87" s="8" t="s">
        <v>12</v>
      </c>
      <c r="D87" s="8">
        <v>17.48</v>
      </c>
      <c r="E87" s="8"/>
    </row>
    <row r="88" customHeight="1" spans="1:5">
      <c r="A88" s="8"/>
      <c r="B88" s="8" t="s">
        <v>18</v>
      </c>
      <c r="C88" s="8" t="s">
        <v>18</v>
      </c>
      <c r="D88" s="8">
        <v>7</v>
      </c>
      <c r="E88" s="8"/>
    </row>
    <row r="89" customHeight="1" spans="1:5">
      <c r="A89" s="8" t="s">
        <v>108</v>
      </c>
      <c r="B89" s="8" t="s">
        <v>36</v>
      </c>
      <c r="C89" s="8" t="s">
        <v>36</v>
      </c>
      <c r="D89" s="8">
        <v>15</v>
      </c>
      <c r="E89" s="8"/>
    </row>
    <row r="90" customHeight="1" spans="1:5">
      <c r="A90" s="8"/>
      <c r="B90" s="8" t="s">
        <v>18</v>
      </c>
      <c r="C90" s="8" t="s">
        <v>18</v>
      </c>
      <c r="D90" s="8">
        <v>7</v>
      </c>
      <c r="E90" s="8" t="s">
        <v>109</v>
      </c>
    </row>
    <row r="91" customHeight="1" spans="1:5">
      <c r="A91" s="8"/>
      <c r="B91" s="8" t="s">
        <v>18</v>
      </c>
      <c r="C91" s="8" t="s">
        <v>18</v>
      </c>
      <c r="D91" s="8">
        <v>3</v>
      </c>
      <c r="E91" s="8" t="s">
        <v>110</v>
      </c>
    </row>
    <row r="92" customHeight="1" spans="1:5">
      <c r="A92" s="8"/>
      <c r="B92" s="8" t="s">
        <v>111</v>
      </c>
      <c r="C92" s="8" t="s">
        <v>44</v>
      </c>
      <c r="D92" s="8">
        <v>9.7</v>
      </c>
      <c r="E92" s="8"/>
    </row>
    <row r="93" customHeight="1" spans="1:5">
      <c r="A93" s="8" t="s">
        <v>112</v>
      </c>
      <c r="B93" s="8"/>
      <c r="C93" s="8"/>
      <c r="D93" s="8"/>
      <c r="E93" s="8"/>
    </row>
    <row r="94" customHeight="1" spans="1:5">
      <c r="A94" s="8"/>
      <c r="B94" s="8"/>
      <c r="C94" s="8"/>
      <c r="D94" s="8"/>
      <c r="E94" s="8"/>
    </row>
    <row r="95" customHeight="1" spans="1:5">
      <c r="A95" s="8" t="s">
        <v>113</v>
      </c>
      <c r="B95" s="8" t="s">
        <v>114</v>
      </c>
      <c r="C95" s="8" t="s">
        <v>26</v>
      </c>
      <c r="D95" s="8">
        <v>2.5</v>
      </c>
      <c r="E95" s="8" t="s">
        <v>115</v>
      </c>
    </row>
    <row r="96" customHeight="1" spans="1:5">
      <c r="A96" s="8"/>
      <c r="B96" s="8" t="s">
        <v>116</v>
      </c>
      <c r="C96" s="8" t="s">
        <v>51</v>
      </c>
      <c r="D96" s="8">
        <v>421.09</v>
      </c>
      <c r="E96" s="8"/>
    </row>
    <row r="97" customHeight="1" spans="1:5">
      <c r="A97" s="8"/>
      <c r="B97" s="8" t="s">
        <v>117</v>
      </c>
      <c r="C97" s="8" t="s">
        <v>14</v>
      </c>
      <c r="D97" s="8">
        <v>4</v>
      </c>
      <c r="E97" s="8" t="s">
        <v>118</v>
      </c>
    </row>
    <row r="98" customHeight="1" spans="1:5">
      <c r="A98" s="8"/>
      <c r="B98" s="8" t="s">
        <v>114</v>
      </c>
      <c r="C98" s="8" t="s">
        <v>26</v>
      </c>
      <c r="D98" s="8">
        <v>4.9</v>
      </c>
      <c r="E98" s="8" t="s">
        <v>119</v>
      </c>
    </row>
    <row r="99" customHeight="1" spans="1:5">
      <c r="A99" s="8" t="s">
        <v>120</v>
      </c>
      <c r="B99" s="8" t="s">
        <v>121</v>
      </c>
      <c r="C99" s="8" t="s">
        <v>122</v>
      </c>
      <c r="D99" s="8">
        <v>2533.33</v>
      </c>
      <c r="E99" s="8"/>
    </row>
    <row r="100" customHeight="1" spans="1:5">
      <c r="A100" s="8"/>
      <c r="B100" s="8" t="s">
        <v>18</v>
      </c>
      <c r="C100" s="8" t="s">
        <v>18</v>
      </c>
      <c r="D100" s="8">
        <v>7</v>
      </c>
      <c r="E100" s="8"/>
    </row>
    <row r="101" customHeight="1" spans="1:5">
      <c r="A101" s="8"/>
      <c r="B101" s="8" t="s">
        <v>12</v>
      </c>
      <c r="C101" s="8" t="s">
        <v>12</v>
      </c>
      <c r="D101" s="8">
        <v>30.55</v>
      </c>
      <c r="E101" s="8"/>
    </row>
    <row r="102" customHeight="1" spans="1:5">
      <c r="A102" s="8" t="s">
        <v>123</v>
      </c>
      <c r="B102" s="8" t="s">
        <v>124</v>
      </c>
      <c r="C102" s="8" t="s">
        <v>125</v>
      </c>
      <c r="D102" s="8">
        <v>0.5</v>
      </c>
      <c r="E102" s="8"/>
    </row>
    <row r="103" customHeight="1" spans="1:5">
      <c r="A103" s="8"/>
      <c r="B103" s="8" t="s">
        <v>36</v>
      </c>
      <c r="C103" s="8" t="s">
        <v>36</v>
      </c>
      <c r="D103" s="8">
        <v>20</v>
      </c>
      <c r="E103" s="8"/>
    </row>
    <row r="104" customHeight="1" spans="1:5">
      <c r="A104" s="8"/>
      <c r="B104" s="8" t="s">
        <v>18</v>
      </c>
      <c r="C104" s="8" t="s">
        <v>18</v>
      </c>
      <c r="D104" s="8">
        <v>7</v>
      </c>
      <c r="E104" s="8" t="s">
        <v>109</v>
      </c>
    </row>
    <row r="105" customHeight="1" spans="1:5">
      <c r="A105" s="8"/>
      <c r="B105" s="8" t="s">
        <v>18</v>
      </c>
      <c r="C105" s="8" t="s">
        <v>18</v>
      </c>
      <c r="D105" s="8">
        <v>7</v>
      </c>
      <c r="E105" s="8" t="s">
        <v>110</v>
      </c>
    </row>
    <row r="106" customHeight="1" spans="1:5">
      <c r="A106" s="8" t="s">
        <v>126</v>
      </c>
      <c r="B106" s="8" t="s">
        <v>36</v>
      </c>
      <c r="C106" s="8" t="s">
        <v>36</v>
      </c>
      <c r="D106" s="8">
        <v>5</v>
      </c>
      <c r="E106" s="8"/>
    </row>
    <row r="107" customHeight="1" spans="1:5">
      <c r="A107" s="8"/>
      <c r="B107" s="8" t="s">
        <v>18</v>
      </c>
      <c r="C107" s="8" t="s">
        <v>18</v>
      </c>
      <c r="D107" s="8">
        <v>7</v>
      </c>
      <c r="E107" s="8" t="s">
        <v>109</v>
      </c>
    </row>
    <row r="108" customHeight="1" spans="1:5">
      <c r="A108" s="8"/>
      <c r="B108" s="8" t="s">
        <v>18</v>
      </c>
      <c r="C108" s="8" t="s">
        <v>18</v>
      </c>
      <c r="D108" s="8">
        <v>7</v>
      </c>
      <c r="E108" s="8" t="s">
        <v>110</v>
      </c>
    </row>
    <row r="109" customHeight="1" spans="1:5">
      <c r="A109" s="8" t="s">
        <v>127</v>
      </c>
      <c r="B109" s="8" t="s">
        <v>36</v>
      </c>
      <c r="C109" s="8" t="s">
        <v>36</v>
      </c>
      <c r="D109" s="8">
        <v>5</v>
      </c>
      <c r="E109" s="8"/>
    </row>
    <row r="110" customHeight="1" spans="1:5">
      <c r="A110" s="8"/>
      <c r="B110" s="8" t="s">
        <v>18</v>
      </c>
      <c r="C110" s="8" t="s">
        <v>18</v>
      </c>
      <c r="D110" s="8">
        <v>7</v>
      </c>
      <c r="E110" s="8" t="s">
        <v>109</v>
      </c>
    </row>
    <row r="111" customHeight="1" spans="1:5">
      <c r="A111" s="8"/>
      <c r="B111" s="8" t="s">
        <v>18</v>
      </c>
      <c r="C111" s="8" t="s">
        <v>18</v>
      </c>
      <c r="D111" s="8">
        <v>3</v>
      </c>
      <c r="E111" s="8" t="s">
        <v>110</v>
      </c>
    </row>
    <row r="112" customHeight="1" spans="1:5">
      <c r="A112" s="8" t="s">
        <v>128</v>
      </c>
      <c r="B112" s="8" t="s">
        <v>18</v>
      </c>
      <c r="C112" s="8" t="s">
        <v>18</v>
      </c>
      <c r="D112" s="8">
        <v>7</v>
      </c>
      <c r="E112" s="8"/>
    </row>
    <row r="113" customHeight="1" spans="1:5">
      <c r="A113" s="8"/>
      <c r="B113" s="8" t="s">
        <v>129</v>
      </c>
      <c r="C113" s="8" t="s">
        <v>12</v>
      </c>
      <c r="D113" s="8">
        <v>0.99</v>
      </c>
      <c r="E113" s="8"/>
    </row>
    <row r="114" customHeight="1" spans="1:5">
      <c r="A114" s="8"/>
      <c r="B114" s="8" t="s">
        <v>130</v>
      </c>
      <c r="C114" s="8" t="s">
        <v>12</v>
      </c>
      <c r="D114" s="8">
        <v>13.33</v>
      </c>
      <c r="E114" s="8"/>
    </row>
    <row r="115" customHeight="1" spans="1:5">
      <c r="A115" s="8" t="s">
        <v>131</v>
      </c>
      <c r="B115" s="8" t="s">
        <v>132</v>
      </c>
      <c r="C115" s="8" t="s">
        <v>14</v>
      </c>
      <c r="D115" s="8">
        <v>194</v>
      </c>
      <c r="E115" s="8"/>
    </row>
    <row r="116" customHeight="1" spans="1:5">
      <c r="A116" s="8"/>
      <c r="B116" s="8" t="s">
        <v>132</v>
      </c>
      <c r="C116" s="8" t="s">
        <v>14</v>
      </c>
      <c r="D116" s="8">
        <v>21</v>
      </c>
      <c r="E116" s="8"/>
    </row>
    <row r="117" customHeight="1" spans="1:5">
      <c r="A117" s="8"/>
      <c r="B117" s="8" t="s">
        <v>133</v>
      </c>
      <c r="C117" s="8" t="s">
        <v>36</v>
      </c>
      <c r="D117" s="8">
        <v>20</v>
      </c>
      <c r="E117" s="8"/>
    </row>
    <row r="118" customHeight="1" spans="1:5">
      <c r="A118" s="8"/>
      <c r="B118" s="8" t="s">
        <v>134</v>
      </c>
      <c r="C118" s="8" t="s">
        <v>135</v>
      </c>
      <c r="D118" s="8">
        <v>29.84</v>
      </c>
      <c r="E118" s="8" t="s">
        <v>136</v>
      </c>
    </row>
    <row r="119" customHeight="1" spans="1:5">
      <c r="A119" s="8"/>
      <c r="B119" s="8" t="s">
        <v>137</v>
      </c>
      <c r="C119" s="8" t="s">
        <v>20</v>
      </c>
      <c r="D119" s="8">
        <v>96</v>
      </c>
      <c r="E119" s="8" t="s">
        <v>39</v>
      </c>
    </row>
    <row r="133" customHeight="1" spans="1:2">
      <c r="A133"/>
      <c r="B133"/>
    </row>
  </sheetData>
  <mergeCells count="31">
    <mergeCell ref="A2:A3"/>
    <mergeCell ref="A4:A5"/>
    <mergeCell ref="A6:A7"/>
    <mergeCell ref="A8:A11"/>
    <mergeCell ref="A12:A15"/>
    <mergeCell ref="A16:A18"/>
    <mergeCell ref="A19:A25"/>
    <mergeCell ref="A26:A28"/>
    <mergeCell ref="A29:A37"/>
    <mergeCell ref="A38:A41"/>
    <mergeCell ref="A42:A47"/>
    <mergeCell ref="A48:A51"/>
    <mergeCell ref="A52:A54"/>
    <mergeCell ref="A55:A56"/>
    <mergeCell ref="A57:A59"/>
    <mergeCell ref="A60:A65"/>
    <mergeCell ref="A66:A71"/>
    <mergeCell ref="A72:A76"/>
    <mergeCell ref="A77:A79"/>
    <mergeCell ref="A80:A83"/>
    <mergeCell ref="A84:A86"/>
    <mergeCell ref="A87:A88"/>
    <mergeCell ref="A89:A92"/>
    <mergeCell ref="A93:A94"/>
    <mergeCell ref="A95:A98"/>
    <mergeCell ref="A99:A101"/>
    <mergeCell ref="A102:A105"/>
    <mergeCell ref="A106:A108"/>
    <mergeCell ref="A109:A111"/>
    <mergeCell ref="A112:A114"/>
    <mergeCell ref="A115:A119"/>
  </mergeCells>
  <conditionalFormatting sqref="C7">
    <cfRule type="cellIs" dxfId="0" priority="217" operator="equal">
      <formula>#REF!</formula>
    </cfRule>
    <cfRule type="cellIs" dxfId="1" priority="218" operator="equal">
      <formula>#REF!</formula>
    </cfRule>
    <cfRule type="cellIs" dxfId="2" priority="219" operator="equal">
      <formula>#REF!</formula>
    </cfRule>
    <cfRule type="cellIs" dxfId="3" priority="220" operator="equal">
      <formula>#REF!</formula>
    </cfRule>
    <cfRule type="cellIs" dxfId="3" priority="221" operator="equal">
      <formula>#REF!</formula>
    </cfRule>
    <cfRule type="cellIs" dxfId="3" priority="222" operator="equal">
      <formula>#REF!</formula>
    </cfRule>
    <cfRule type="cellIs" dxfId="3" priority="223" operator="equal">
      <formula>#REF!</formula>
    </cfRule>
    <cfRule type="cellIs" dxfId="3" priority="224" operator="equal">
      <formula>#REF!</formula>
    </cfRule>
    <cfRule type="cellIs" dxfId="4" priority="225" operator="equal">
      <formula>#REF!</formula>
    </cfRule>
  </conditionalFormatting>
  <conditionalFormatting sqref="C9">
    <cfRule type="cellIs" dxfId="0" priority="226" operator="equal">
      <formula>#REF!</formula>
    </cfRule>
    <cfRule type="cellIs" dxfId="1" priority="227" operator="equal">
      <formula>#REF!</formula>
    </cfRule>
    <cfRule type="cellIs" dxfId="2" priority="228" operator="equal">
      <formula>#REF!</formula>
    </cfRule>
    <cfRule type="cellIs" dxfId="3" priority="229" operator="equal">
      <formula>#REF!</formula>
    </cfRule>
    <cfRule type="cellIs" dxfId="3" priority="230" operator="equal">
      <formula>#REF!</formula>
    </cfRule>
    <cfRule type="cellIs" dxfId="3" priority="231" operator="equal">
      <formula>#REF!</formula>
    </cfRule>
    <cfRule type="cellIs" dxfId="3" priority="232" operator="equal">
      <formula>#REF!</formula>
    </cfRule>
    <cfRule type="cellIs" dxfId="3" priority="233" operator="equal">
      <formula>#REF!</formula>
    </cfRule>
    <cfRule type="cellIs" dxfId="4" priority="234" operator="equal">
      <formula>#REF!</formula>
    </cfRule>
  </conditionalFormatting>
  <conditionalFormatting sqref="C12">
    <cfRule type="cellIs" dxfId="0" priority="235" operator="equal">
      <formula>#REF!</formula>
    </cfRule>
    <cfRule type="cellIs" dxfId="1" priority="236" operator="equal">
      <formula>#REF!</formula>
    </cfRule>
    <cfRule type="cellIs" dxfId="2" priority="237" operator="equal">
      <formula>#REF!</formula>
    </cfRule>
    <cfRule type="cellIs" dxfId="3" priority="238" operator="equal">
      <formula>#REF!</formula>
    </cfRule>
    <cfRule type="cellIs" dxfId="3" priority="239" operator="equal">
      <formula>#REF!</formula>
    </cfRule>
    <cfRule type="cellIs" dxfId="3" priority="240" operator="equal">
      <formula>#REF!</formula>
    </cfRule>
    <cfRule type="cellIs" dxfId="3" priority="241" operator="equal">
      <formula>#REF!</formula>
    </cfRule>
    <cfRule type="cellIs" dxfId="3" priority="242" operator="equal">
      <formula>#REF!</formula>
    </cfRule>
    <cfRule type="cellIs" dxfId="4" priority="243" operator="equal">
      <formula>#REF!</formula>
    </cfRule>
  </conditionalFormatting>
  <conditionalFormatting sqref="C24">
    <cfRule type="cellIs" dxfId="0" priority="244" operator="equal">
      <formula>#REF!</formula>
    </cfRule>
    <cfRule type="cellIs" dxfId="1" priority="245" operator="equal">
      <formula>#REF!</formula>
    </cfRule>
    <cfRule type="cellIs" dxfId="2" priority="246" operator="equal">
      <formula>#REF!</formula>
    </cfRule>
    <cfRule type="cellIs" dxfId="3" priority="247" operator="equal">
      <formula>#REF!</formula>
    </cfRule>
    <cfRule type="cellIs" dxfId="3" priority="248" operator="equal">
      <formula>#REF!</formula>
    </cfRule>
    <cfRule type="cellIs" dxfId="3" priority="249" operator="equal">
      <formula>#REF!</formula>
    </cfRule>
    <cfRule type="cellIs" dxfId="3" priority="250" operator="equal">
      <formula>#REF!</formula>
    </cfRule>
    <cfRule type="cellIs" dxfId="3" priority="251" operator="equal">
      <formula>#REF!</formula>
    </cfRule>
    <cfRule type="cellIs" dxfId="4" priority="252" operator="equal">
      <formula>#REF!</formula>
    </cfRule>
  </conditionalFormatting>
  <conditionalFormatting sqref="C33">
    <cfRule type="cellIs" dxfId="0" priority="199" operator="equal">
      <formula>#REF!</formula>
    </cfRule>
    <cfRule type="cellIs" dxfId="1" priority="200" operator="equal">
      <formula>#REF!</formula>
    </cfRule>
    <cfRule type="cellIs" dxfId="2" priority="201" operator="equal">
      <formula>#REF!</formula>
    </cfRule>
    <cfRule type="cellIs" dxfId="3" priority="202" operator="equal">
      <formula>#REF!</formula>
    </cfRule>
    <cfRule type="cellIs" dxfId="3" priority="203" operator="equal">
      <formula>#REF!</formula>
    </cfRule>
    <cfRule type="cellIs" dxfId="3" priority="204" operator="equal">
      <formula>#REF!</formula>
    </cfRule>
    <cfRule type="cellIs" dxfId="3" priority="205" operator="equal">
      <formula>#REF!</formula>
    </cfRule>
    <cfRule type="cellIs" dxfId="3" priority="206" operator="equal">
      <formula>#REF!</formula>
    </cfRule>
    <cfRule type="cellIs" dxfId="4" priority="207" operator="equal">
      <formula>#REF!</formula>
    </cfRule>
  </conditionalFormatting>
  <conditionalFormatting sqref="C34">
    <cfRule type="cellIs" dxfId="0" priority="190" operator="equal">
      <formula>#REF!</formula>
    </cfRule>
    <cfRule type="cellIs" dxfId="1" priority="191" operator="equal">
      <formula>#REF!</formula>
    </cfRule>
    <cfRule type="cellIs" dxfId="2" priority="192" operator="equal">
      <formula>#REF!</formula>
    </cfRule>
    <cfRule type="cellIs" dxfId="3" priority="193" operator="equal">
      <formula>#REF!</formula>
    </cfRule>
    <cfRule type="cellIs" dxfId="3" priority="194" operator="equal">
      <formula>#REF!</formula>
    </cfRule>
    <cfRule type="cellIs" dxfId="3" priority="195" operator="equal">
      <formula>#REF!</formula>
    </cfRule>
    <cfRule type="cellIs" dxfId="3" priority="196" operator="equal">
      <formula>#REF!</formula>
    </cfRule>
    <cfRule type="cellIs" dxfId="3" priority="197" operator="equal">
      <formula>#REF!</formula>
    </cfRule>
    <cfRule type="cellIs" dxfId="4" priority="198" operator="equal">
      <formula>#REF!</formula>
    </cfRule>
  </conditionalFormatting>
  <conditionalFormatting sqref="C35">
    <cfRule type="cellIs" dxfId="0" priority="181" operator="equal">
      <formula>#REF!</formula>
    </cfRule>
    <cfRule type="cellIs" dxfId="1" priority="182" operator="equal">
      <formula>#REF!</formula>
    </cfRule>
    <cfRule type="cellIs" dxfId="2" priority="183" operator="equal">
      <formula>#REF!</formula>
    </cfRule>
    <cfRule type="cellIs" dxfId="3" priority="184" operator="equal">
      <formula>#REF!</formula>
    </cfRule>
    <cfRule type="cellIs" dxfId="3" priority="185" operator="equal">
      <formula>#REF!</formula>
    </cfRule>
    <cfRule type="cellIs" dxfId="3" priority="186" operator="equal">
      <formula>#REF!</formula>
    </cfRule>
    <cfRule type="cellIs" dxfId="3" priority="187" operator="equal">
      <formula>#REF!</formula>
    </cfRule>
    <cfRule type="cellIs" dxfId="3" priority="188" operator="equal">
      <formula>#REF!</formula>
    </cfRule>
    <cfRule type="cellIs" dxfId="4" priority="189" operator="equal">
      <formula>#REF!</formula>
    </cfRule>
  </conditionalFormatting>
  <conditionalFormatting sqref="C36">
    <cfRule type="cellIs" dxfId="0" priority="163" operator="equal">
      <formula>#REF!</formula>
    </cfRule>
    <cfRule type="cellIs" dxfId="1" priority="164" operator="equal">
      <formula>#REF!</formula>
    </cfRule>
    <cfRule type="cellIs" dxfId="2" priority="165" operator="equal">
      <formula>#REF!</formula>
    </cfRule>
    <cfRule type="cellIs" dxfId="3" priority="166" operator="equal">
      <formula>#REF!</formula>
    </cfRule>
    <cfRule type="cellIs" dxfId="3" priority="167" operator="equal">
      <formula>#REF!</formula>
    </cfRule>
    <cfRule type="cellIs" dxfId="3" priority="168" operator="equal">
      <formula>#REF!</formula>
    </cfRule>
    <cfRule type="cellIs" dxfId="3" priority="169" operator="equal">
      <formula>#REF!</formula>
    </cfRule>
    <cfRule type="cellIs" dxfId="3" priority="170" operator="equal">
      <formula>#REF!</formula>
    </cfRule>
    <cfRule type="cellIs" dxfId="4" priority="171" operator="equal">
      <formula>#REF!</formula>
    </cfRule>
  </conditionalFormatting>
  <conditionalFormatting sqref="C37">
    <cfRule type="cellIs" dxfId="0" priority="172" operator="equal">
      <formula>#REF!</formula>
    </cfRule>
    <cfRule type="cellIs" dxfId="1" priority="173" operator="equal">
      <formula>#REF!</formula>
    </cfRule>
    <cfRule type="cellIs" dxfId="2" priority="174" operator="equal">
      <formula>#REF!</formula>
    </cfRule>
    <cfRule type="cellIs" dxfId="3" priority="175" operator="equal">
      <formula>#REF!</formula>
    </cfRule>
    <cfRule type="cellIs" dxfId="3" priority="176" operator="equal">
      <formula>#REF!</formula>
    </cfRule>
    <cfRule type="cellIs" dxfId="3" priority="177" operator="equal">
      <formula>#REF!</formula>
    </cfRule>
    <cfRule type="cellIs" dxfId="3" priority="178" operator="equal">
      <formula>#REF!</formula>
    </cfRule>
    <cfRule type="cellIs" dxfId="3" priority="179" operator="equal">
      <formula>#REF!</formula>
    </cfRule>
    <cfRule type="cellIs" dxfId="4" priority="180" operator="equal">
      <formula>#REF!</formula>
    </cfRule>
  </conditionalFormatting>
  <conditionalFormatting sqref="C41">
    <cfRule type="cellIs" dxfId="0" priority="145" operator="equal">
      <formula>#REF!</formula>
    </cfRule>
    <cfRule type="cellIs" dxfId="1" priority="146" operator="equal">
      <formula>#REF!</formula>
    </cfRule>
    <cfRule type="cellIs" dxfId="2" priority="147" operator="equal">
      <formula>#REF!</formula>
    </cfRule>
    <cfRule type="cellIs" dxfId="3" priority="148" operator="equal">
      <formula>#REF!</formula>
    </cfRule>
    <cfRule type="cellIs" dxfId="3" priority="149" operator="equal">
      <formula>#REF!</formula>
    </cfRule>
    <cfRule type="cellIs" dxfId="3" priority="150" operator="equal">
      <formula>#REF!</formula>
    </cfRule>
    <cfRule type="cellIs" dxfId="3" priority="151" operator="equal">
      <formula>#REF!</formula>
    </cfRule>
    <cfRule type="cellIs" dxfId="3" priority="152" operator="equal">
      <formula>#REF!</formula>
    </cfRule>
    <cfRule type="cellIs" dxfId="4" priority="153" operator="equal">
      <formula>#REF!</formula>
    </cfRule>
  </conditionalFormatting>
  <conditionalFormatting sqref="C43">
    <cfRule type="cellIs" dxfId="0" priority="127" operator="equal">
      <formula>#REF!</formula>
    </cfRule>
    <cfRule type="cellIs" dxfId="1" priority="128" operator="equal">
      <formula>#REF!</formula>
    </cfRule>
    <cfRule type="cellIs" dxfId="2" priority="129" operator="equal">
      <formula>#REF!</formula>
    </cfRule>
    <cfRule type="cellIs" dxfId="3" priority="130" operator="equal">
      <formula>#REF!</formula>
    </cfRule>
    <cfRule type="cellIs" dxfId="3" priority="131" operator="equal">
      <formula>#REF!</formula>
    </cfRule>
    <cfRule type="cellIs" dxfId="3" priority="132" operator="equal">
      <formula>#REF!</formula>
    </cfRule>
    <cfRule type="cellIs" dxfId="3" priority="133" operator="equal">
      <formula>#REF!</formula>
    </cfRule>
    <cfRule type="cellIs" dxfId="3" priority="134" operator="equal">
      <formula>#REF!</formula>
    </cfRule>
    <cfRule type="cellIs" dxfId="4" priority="135" operator="equal">
      <formula>#REF!</formula>
    </cfRule>
  </conditionalFormatting>
  <conditionalFormatting sqref="C53">
    <cfRule type="cellIs" dxfId="0" priority="118" operator="equal">
      <formula>#REF!</formula>
    </cfRule>
    <cfRule type="cellIs" dxfId="1" priority="119" operator="equal">
      <formula>#REF!</formula>
    </cfRule>
    <cfRule type="cellIs" dxfId="2" priority="120" operator="equal">
      <formula>#REF!</formula>
    </cfRule>
    <cfRule type="cellIs" dxfId="3" priority="121" operator="equal">
      <formula>#REF!</formula>
    </cfRule>
    <cfRule type="cellIs" dxfId="3" priority="122" operator="equal">
      <formula>#REF!</formula>
    </cfRule>
    <cfRule type="cellIs" dxfId="3" priority="123" operator="equal">
      <formula>#REF!</formula>
    </cfRule>
    <cfRule type="cellIs" dxfId="3" priority="124" operator="equal">
      <formula>#REF!</formula>
    </cfRule>
    <cfRule type="cellIs" dxfId="3" priority="125" operator="equal">
      <formula>#REF!</formula>
    </cfRule>
    <cfRule type="cellIs" dxfId="4" priority="126" operator="equal">
      <formula>#REF!</formula>
    </cfRule>
  </conditionalFormatting>
  <conditionalFormatting sqref="C54">
    <cfRule type="cellIs" dxfId="0" priority="109" operator="equal">
      <formula>#REF!</formula>
    </cfRule>
    <cfRule type="cellIs" dxfId="1" priority="110" operator="equal">
      <formula>#REF!</formula>
    </cfRule>
    <cfRule type="cellIs" dxfId="2" priority="111" operator="equal">
      <formula>#REF!</formula>
    </cfRule>
    <cfRule type="cellIs" dxfId="3" priority="112" operator="equal">
      <formula>#REF!</formula>
    </cfRule>
    <cfRule type="cellIs" dxfId="3" priority="113" operator="equal">
      <formula>#REF!</formula>
    </cfRule>
    <cfRule type="cellIs" dxfId="3" priority="114" operator="equal">
      <formula>#REF!</formula>
    </cfRule>
    <cfRule type="cellIs" dxfId="3" priority="115" operator="equal">
      <formula>#REF!</formula>
    </cfRule>
    <cfRule type="cellIs" dxfId="3" priority="116" operator="equal">
      <formula>#REF!</formula>
    </cfRule>
    <cfRule type="cellIs" dxfId="4" priority="117" operator="equal">
      <formula>#REF!</formula>
    </cfRule>
  </conditionalFormatting>
  <conditionalFormatting sqref="C55">
    <cfRule type="cellIs" dxfId="0" priority="100" operator="equal">
      <formula>#REF!</formula>
    </cfRule>
    <cfRule type="cellIs" dxfId="1" priority="101" operator="equal">
      <formula>#REF!</formula>
    </cfRule>
    <cfRule type="cellIs" dxfId="2" priority="102" operator="equal">
      <formula>#REF!</formula>
    </cfRule>
    <cfRule type="cellIs" dxfId="3" priority="103" operator="equal">
      <formula>#REF!</formula>
    </cfRule>
    <cfRule type="cellIs" dxfId="3" priority="104" operator="equal">
      <formula>#REF!</formula>
    </cfRule>
    <cfRule type="cellIs" dxfId="3" priority="105" operator="equal">
      <formula>#REF!</formula>
    </cfRule>
    <cfRule type="cellIs" dxfId="3" priority="106" operator="equal">
      <formula>#REF!</formula>
    </cfRule>
    <cfRule type="cellIs" dxfId="3" priority="107" operator="equal">
      <formula>#REF!</formula>
    </cfRule>
    <cfRule type="cellIs" dxfId="4" priority="108" operator="equal">
      <formula>#REF!</formula>
    </cfRule>
  </conditionalFormatting>
  <conditionalFormatting sqref="C57">
    <cfRule type="cellIs" dxfId="0" priority="91" operator="equal">
      <formula>#REF!</formula>
    </cfRule>
    <cfRule type="cellIs" dxfId="1" priority="92" operator="equal">
      <formula>#REF!</formula>
    </cfRule>
    <cfRule type="cellIs" dxfId="2" priority="93" operator="equal">
      <formula>#REF!</formula>
    </cfRule>
    <cfRule type="cellIs" dxfId="3" priority="94" operator="equal">
      <formula>#REF!</formula>
    </cfRule>
    <cfRule type="cellIs" dxfId="3" priority="95" operator="equal">
      <formula>#REF!</formula>
    </cfRule>
    <cfRule type="cellIs" dxfId="3" priority="96" operator="equal">
      <formula>#REF!</formula>
    </cfRule>
    <cfRule type="cellIs" dxfId="3" priority="97" operator="equal">
      <formula>#REF!</formula>
    </cfRule>
    <cfRule type="cellIs" dxfId="3" priority="98" operator="equal">
      <formula>#REF!</formula>
    </cfRule>
    <cfRule type="cellIs" dxfId="4" priority="99" operator="equal">
      <formula>#REF!</formula>
    </cfRule>
  </conditionalFormatting>
  <conditionalFormatting sqref="C61">
    <cfRule type="cellIs" dxfId="0" priority="82" operator="equal">
      <formula>#REF!</formula>
    </cfRule>
    <cfRule type="cellIs" dxfId="1" priority="83" operator="equal">
      <formula>#REF!</formula>
    </cfRule>
    <cfRule type="cellIs" dxfId="2" priority="84" operator="equal">
      <formula>#REF!</formula>
    </cfRule>
    <cfRule type="cellIs" dxfId="3" priority="85" operator="equal">
      <formula>#REF!</formula>
    </cfRule>
    <cfRule type="cellIs" dxfId="3" priority="86" operator="equal">
      <formula>#REF!</formula>
    </cfRule>
    <cfRule type="cellIs" dxfId="3" priority="87" operator="equal">
      <formula>#REF!</formula>
    </cfRule>
    <cfRule type="cellIs" dxfId="3" priority="88" operator="equal">
      <formula>#REF!</formula>
    </cfRule>
    <cfRule type="cellIs" dxfId="3" priority="89" operator="equal">
      <formula>#REF!</formula>
    </cfRule>
    <cfRule type="cellIs" dxfId="4" priority="90" operator="equal">
      <formula>#REF!</formula>
    </cfRule>
  </conditionalFormatting>
  <conditionalFormatting sqref="C62">
    <cfRule type="cellIs" dxfId="0" priority="73" operator="equal">
      <formula>#REF!</formula>
    </cfRule>
    <cfRule type="cellIs" dxfId="1" priority="74" operator="equal">
      <formula>#REF!</formula>
    </cfRule>
    <cfRule type="cellIs" dxfId="2" priority="75" operator="equal">
      <formula>#REF!</formula>
    </cfRule>
    <cfRule type="cellIs" dxfId="3" priority="76" operator="equal">
      <formula>#REF!</formula>
    </cfRule>
    <cfRule type="cellIs" dxfId="3" priority="77" operator="equal">
      <formula>#REF!</formula>
    </cfRule>
    <cfRule type="cellIs" dxfId="3" priority="78" operator="equal">
      <formula>#REF!</formula>
    </cfRule>
    <cfRule type="cellIs" dxfId="3" priority="79" operator="equal">
      <formula>#REF!</formula>
    </cfRule>
    <cfRule type="cellIs" dxfId="3" priority="80" operator="equal">
      <formula>#REF!</formula>
    </cfRule>
    <cfRule type="cellIs" dxfId="4" priority="81" operator="equal">
      <formula>#REF!</formula>
    </cfRule>
  </conditionalFormatting>
  <conditionalFormatting sqref="C81">
    <cfRule type="cellIs" dxfId="0" priority="55" operator="equal">
      <formula>#REF!</formula>
    </cfRule>
    <cfRule type="cellIs" dxfId="1" priority="56" operator="equal">
      <formula>#REF!</formula>
    </cfRule>
    <cfRule type="cellIs" dxfId="2" priority="57" operator="equal">
      <formula>#REF!</formula>
    </cfRule>
    <cfRule type="cellIs" dxfId="3" priority="58" operator="equal">
      <formula>#REF!</formula>
    </cfRule>
    <cfRule type="cellIs" dxfId="3" priority="59" operator="equal">
      <formula>#REF!</formula>
    </cfRule>
    <cfRule type="cellIs" dxfId="3" priority="60" operator="equal">
      <formula>#REF!</formula>
    </cfRule>
    <cfRule type="cellIs" dxfId="3" priority="61" operator="equal">
      <formula>#REF!</formula>
    </cfRule>
    <cfRule type="cellIs" dxfId="3" priority="62" operator="equal">
      <formula>#REF!</formula>
    </cfRule>
    <cfRule type="cellIs" dxfId="4" priority="63" operator="equal">
      <formula>#REF!</formula>
    </cfRule>
  </conditionalFormatting>
  <conditionalFormatting sqref="C82">
    <cfRule type="cellIs" dxfId="0" priority="46" operator="equal">
      <formula>#REF!</formula>
    </cfRule>
    <cfRule type="cellIs" dxfId="1" priority="47" operator="equal">
      <formula>#REF!</formula>
    </cfRule>
    <cfRule type="cellIs" dxfId="2" priority="48" operator="equal">
      <formula>#REF!</formula>
    </cfRule>
    <cfRule type="cellIs" dxfId="3" priority="49" operator="equal">
      <formula>#REF!</formula>
    </cfRule>
    <cfRule type="cellIs" dxfId="3" priority="50" operator="equal">
      <formula>#REF!</formula>
    </cfRule>
    <cfRule type="cellIs" dxfId="3" priority="51" operator="equal">
      <formula>#REF!</formula>
    </cfRule>
    <cfRule type="cellIs" dxfId="3" priority="52" operator="equal">
      <formula>#REF!</formula>
    </cfRule>
    <cfRule type="cellIs" dxfId="3" priority="53" operator="equal">
      <formula>#REF!</formula>
    </cfRule>
    <cfRule type="cellIs" dxfId="4" priority="54" operator="equal">
      <formula>#REF!</formula>
    </cfRule>
  </conditionalFormatting>
  <conditionalFormatting sqref="C83">
    <cfRule type="cellIs" dxfId="0" priority="64" operator="equal">
      <formula>#REF!</formula>
    </cfRule>
    <cfRule type="cellIs" dxfId="1" priority="65" operator="equal">
      <formula>#REF!</formula>
    </cfRule>
    <cfRule type="cellIs" dxfId="2" priority="66" operator="equal">
      <formula>#REF!</formula>
    </cfRule>
    <cfRule type="cellIs" dxfId="3" priority="67" operator="equal">
      <formula>#REF!</formula>
    </cfRule>
    <cfRule type="cellIs" dxfId="3" priority="68" operator="equal">
      <formula>#REF!</formula>
    </cfRule>
    <cfRule type="cellIs" dxfId="3" priority="69" operator="equal">
      <formula>#REF!</formula>
    </cfRule>
    <cfRule type="cellIs" dxfId="3" priority="70" operator="equal">
      <formula>#REF!</formula>
    </cfRule>
    <cfRule type="cellIs" dxfId="3" priority="71" operator="equal">
      <formula>#REF!</formula>
    </cfRule>
    <cfRule type="cellIs" dxfId="4" priority="72" operator="equal">
      <formula>#REF!</formula>
    </cfRule>
  </conditionalFormatting>
  <conditionalFormatting sqref="C88">
    <cfRule type="cellIs" dxfId="0" priority="37" operator="equal">
      <formula>#REF!</formula>
    </cfRule>
    <cfRule type="cellIs" dxfId="1" priority="38" operator="equal">
      <formula>#REF!</formula>
    </cfRule>
    <cfRule type="cellIs" dxfId="2" priority="39" operator="equal">
      <formula>#REF!</formula>
    </cfRule>
    <cfRule type="cellIs" dxfId="3" priority="40" operator="equal">
      <formula>#REF!</formula>
    </cfRule>
    <cfRule type="cellIs" dxfId="3" priority="41" operator="equal">
      <formula>#REF!</formula>
    </cfRule>
    <cfRule type="cellIs" dxfId="3" priority="42" operator="equal">
      <formula>#REF!</formula>
    </cfRule>
    <cfRule type="cellIs" dxfId="3" priority="43" operator="equal">
      <formula>#REF!</formula>
    </cfRule>
    <cfRule type="cellIs" dxfId="3" priority="44" operator="equal">
      <formula>#REF!</formula>
    </cfRule>
    <cfRule type="cellIs" dxfId="4" priority="45" operator="equal">
      <formula>#REF!</formula>
    </cfRule>
  </conditionalFormatting>
  <conditionalFormatting sqref="C107">
    <cfRule type="cellIs" dxfId="0" priority="19" operator="equal">
      <formula>#REF!</formula>
    </cfRule>
    <cfRule type="cellIs" dxfId="1" priority="20" operator="equal">
      <formula>#REF!</formula>
    </cfRule>
    <cfRule type="cellIs" dxfId="2" priority="21" operator="equal">
      <formula>#REF!</formula>
    </cfRule>
    <cfRule type="cellIs" dxfId="3" priority="22" operator="equal">
      <formula>#REF!</formula>
    </cfRule>
    <cfRule type="cellIs" dxfId="3" priority="23" operator="equal">
      <formula>#REF!</formula>
    </cfRule>
    <cfRule type="cellIs" dxfId="3" priority="24" operator="equal">
      <formula>#REF!</formula>
    </cfRule>
    <cfRule type="cellIs" dxfId="3" priority="25" operator="equal">
      <formula>#REF!</formula>
    </cfRule>
    <cfRule type="cellIs" dxfId="3" priority="26" operator="equal">
      <formula>#REF!</formula>
    </cfRule>
    <cfRule type="cellIs" dxfId="4" priority="27" operator="equal">
      <formula>#REF!</formula>
    </cfRule>
  </conditionalFormatting>
  <conditionalFormatting sqref="C110">
    <cfRule type="cellIs" dxfId="0" priority="10" operator="equal">
      <formula>#REF!</formula>
    </cfRule>
    <cfRule type="cellIs" dxfId="1" priority="11" operator="equal">
      <formula>#REF!</formula>
    </cfRule>
    <cfRule type="cellIs" dxfId="2" priority="12" operator="equal">
      <formula>#REF!</formula>
    </cfRule>
    <cfRule type="cellIs" dxfId="3" priority="13" operator="equal">
      <formula>#REF!</formula>
    </cfRule>
    <cfRule type="cellIs" dxfId="3" priority="14" operator="equal">
      <formula>#REF!</formula>
    </cfRule>
    <cfRule type="cellIs" dxfId="3" priority="15" operator="equal">
      <formula>#REF!</formula>
    </cfRule>
    <cfRule type="cellIs" dxfId="3" priority="16" operator="equal">
      <formula>#REF!</formula>
    </cfRule>
    <cfRule type="cellIs" dxfId="3" priority="17" operator="equal">
      <formula>#REF!</formula>
    </cfRule>
    <cfRule type="cellIs" dxfId="4" priority="18" operator="equal">
      <formula>#REF!</formula>
    </cfRule>
  </conditionalFormatting>
  <conditionalFormatting sqref="C31:C32">
    <cfRule type="cellIs" dxfId="0" priority="208" operator="equal">
      <formula>#REF!</formula>
    </cfRule>
    <cfRule type="cellIs" dxfId="1" priority="209" operator="equal">
      <formula>#REF!</formula>
    </cfRule>
    <cfRule type="cellIs" dxfId="2" priority="210" operator="equal">
      <formula>#REF!</formula>
    </cfRule>
    <cfRule type="cellIs" dxfId="3" priority="211" operator="equal">
      <formula>#REF!</formula>
    </cfRule>
    <cfRule type="cellIs" dxfId="3" priority="212" operator="equal">
      <formula>#REF!</formula>
    </cfRule>
    <cfRule type="cellIs" dxfId="3" priority="213" operator="equal">
      <formula>#REF!</formula>
    </cfRule>
    <cfRule type="cellIs" dxfId="3" priority="214" operator="equal">
      <formula>#REF!</formula>
    </cfRule>
    <cfRule type="cellIs" dxfId="3" priority="215" operator="equal">
      <formula>#REF!</formula>
    </cfRule>
    <cfRule type="cellIs" dxfId="4" priority="216" operator="equal">
      <formula>#REF!</formula>
    </cfRule>
  </conditionalFormatting>
  <conditionalFormatting sqref="C38:C39">
    <cfRule type="cellIs" dxfId="0" priority="154" operator="equal">
      <formula>#REF!</formula>
    </cfRule>
    <cfRule type="cellIs" dxfId="1" priority="155" operator="equal">
      <formula>#REF!</formula>
    </cfRule>
    <cfRule type="cellIs" dxfId="2" priority="156" operator="equal">
      <formula>#REF!</formula>
    </cfRule>
    <cfRule type="cellIs" dxfId="3" priority="157" operator="equal">
      <formula>#REF!</formula>
    </cfRule>
    <cfRule type="cellIs" dxfId="3" priority="158" operator="equal">
      <formula>#REF!</formula>
    </cfRule>
    <cfRule type="cellIs" dxfId="3" priority="159" operator="equal">
      <formula>#REF!</formula>
    </cfRule>
    <cfRule type="cellIs" dxfId="3" priority="160" operator="equal">
      <formula>#REF!</formula>
    </cfRule>
    <cfRule type="cellIs" dxfId="3" priority="161" operator="equal">
      <formula>#REF!</formula>
    </cfRule>
    <cfRule type="cellIs" dxfId="4" priority="162" operator="equal">
      <formula>#REF!</formula>
    </cfRule>
  </conditionalFormatting>
  <conditionalFormatting sqref="C48:C51">
    <cfRule type="cellIs" dxfId="0" priority="136" operator="equal">
      <formula>#REF!</formula>
    </cfRule>
    <cfRule type="cellIs" dxfId="1" priority="137" operator="equal">
      <formula>#REF!</formula>
    </cfRule>
    <cfRule type="cellIs" dxfId="2" priority="138" operator="equal">
      <formula>#REF!</formula>
    </cfRule>
    <cfRule type="cellIs" dxfId="3" priority="139" operator="equal">
      <formula>#REF!</formula>
    </cfRule>
    <cfRule type="cellIs" dxfId="3" priority="140" operator="equal">
      <formula>#REF!</formula>
    </cfRule>
    <cfRule type="cellIs" dxfId="3" priority="141" operator="equal">
      <formula>#REF!</formula>
    </cfRule>
    <cfRule type="cellIs" dxfId="3" priority="142" operator="equal">
      <formula>#REF!</formula>
    </cfRule>
    <cfRule type="cellIs" dxfId="3" priority="143" operator="equal">
      <formula>#REF!</formula>
    </cfRule>
    <cfRule type="cellIs" dxfId="4" priority="144" operator="equal">
      <formula>#REF!</formula>
    </cfRule>
  </conditionalFormatting>
  <conditionalFormatting sqref="C117:C119">
    <cfRule type="cellIs" dxfId="0" priority="1" operator="equal">
      <formula>#REF!</formula>
    </cfRule>
    <cfRule type="cellIs" dxfId="1" priority="2" operator="equal">
      <formula>#REF!</formula>
    </cfRule>
    <cfRule type="cellIs" dxfId="2" priority="3" operator="equal">
      <formula>#REF!</formula>
    </cfRule>
    <cfRule type="cellIs" dxfId="3" priority="4" operator="equal">
      <formula>#REF!</formula>
    </cfRule>
    <cfRule type="cellIs" dxfId="3" priority="5" operator="equal">
      <formula>#REF!</formula>
    </cfRule>
    <cfRule type="cellIs" dxfId="3" priority="6" operator="equal">
      <formula>#REF!</formula>
    </cfRule>
    <cfRule type="cellIs" dxfId="3" priority="7" operator="equal">
      <formula>#REF!</formula>
    </cfRule>
    <cfRule type="cellIs" dxfId="3" priority="8" operator="equal">
      <formula>#REF!</formula>
    </cfRule>
    <cfRule type="cellIs" dxfId="4" priority="9" operator="equal">
      <formula>#REF!</formula>
    </cfRule>
  </conditionalFormatting>
  <conditionalFormatting sqref="C1:C6 C8 C10:C11 C112:C116 C56 C58:C60 C63:C80 C84:C87 C52 C44:C47 C42 C108 C89:C106 C40 C25:C30 C13:C23 C120:C1048576">
    <cfRule type="cellIs" dxfId="0" priority="271" operator="equal">
      <formula>#REF!</formula>
    </cfRule>
    <cfRule type="cellIs" dxfId="1" priority="272" operator="equal">
      <formula>#REF!</formula>
    </cfRule>
    <cfRule type="cellIs" dxfId="2" priority="273" operator="equal">
      <formula>#REF!</formula>
    </cfRule>
    <cfRule type="cellIs" dxfId="3" priority="274" operator="equal">
      <formula>#REF!</formula>
    </cfRule>
    <cfRule type="cellIs" dxfId="3" priority="275" operator="equal">
      <formula>#REF!</formula>
    </cfRule>
    <cfRule type="cellIs" dxfId="3" priority="276" operator="equal">
      <formula>#REF!</formula>
    </cfRule>
    <cfRule type="cellIs" dxfId="3" priority="277" operator="equal">
      <formula>#REF!</formula>
    </cfRule>
    <cfRule type="cellIs" dxfId="3" priority="278" operator="equal">
      <formula>#REF!</formula>
    </cfRule>
    <cfRule type="cellIs" dxfId="4" priority="279" operator="equal">
      <formula>#REF!</formula>
    </cfRule>
  </conditionalFormatting>
  <conditionalFormatting sqref="C109 C111">
    <cfRule type="cellIs" dxfId="0" priority="28" operator="equal">
      <formula>#REF!</formula>
    </cfRule>
    <cfRule type="cellIs" dxfId="1" priority="29" operator="equal">
      <formula>#REF!</formula>
    </cfRule>
    <cfRule type="cellIs" dxfId="2" priority="30" operator="equal">
      <formula>#REF!</formula>
    </cfRule>
    <cfRule type="cellIs" dxfId="3" priority="31" operator="equal">
      <formula>#REF!</formula>
    </cfRule>
    <cfRule type="cellIs" dxfId="3" priority="32" operator="equal">
      <formula>#REF!</formula>
    </cfRule>
    <cfRule type="cellIs" dxfId="3" priority="33" operator="equal">
      <formula>#REF!</formula>
    </cfRule>
    <cfRule type="cellIs" dxfId="3" priority="34" operator="equal">
      <formula>#REF!</formula>
    </cfRule>
    <cfRule type="cellIs" dxfId="3" priority="35" operator="equal">
      <formula>#REF!</formula>
    </cfRule>
    <cfRule type="cellIs" dxfId="4" priority="36" operator="equal">
      <formula>#REF!</formula>
    </cfRule>
  </conditionalFormatting>
  <dataValidations count="1">
    <dataValidation type="list" allowBlank="1" showInputMessage="1" showErrorMessage="1" sqref="C7 C8 C9 C10 C11 C12 C13 C14 C17 C18 C19 C20 C21 C22 C23 C24 C27 C30 C31 C32 C33 C34 C35 C36 C37 C38 C39 C40 C41 C42 C43 C44 C45 C46 C47 C48 C51 C52 C53 C54 C55 C56 C57 C58 C61 C62 C63 C64 C67 C68 C74 C75 C76 C79 C80 C81 C82 C83 C84 C85 C88 C89 C90 C91 C96 C97 C98 C99 C100 C101 C102 C103 C106 C107 C108 C109 C110 C111 C112 C113 C114 C117 C1:C6 C15:C16 C25:C26 C28:C29 C49:C50 C59:C60 C65:C66 C69:C70 C71:C73 C77:C78 C86:C87 C92:C95 C104:C105 C115:C116 C118:C119 C120:C1048576">
      <formula1>#REF!</formula1>
    </dataValidation>
  </dataValidations>
  <pageMargins left="0.75" right="0.75" top="1" bottom="1" header="0.5" footer="0.5"/>
  <headerFooter/>
  <ignoredErrors>
    <ignoredError sqref="C1"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6"/>
  <sheetViews>
    <sheetView topLeftCell="A75" workbookViewId="0">
      <selection activeCell="H98" sqref="H98"/>
    </sheetView>
  </sheetViews>
  <sheetFormatPr defaultColWidth="9" defaultRowHeight="16.5" customHeight="1" outlineLevelCol="4"/>
  <cols>
    <col min="1" max="1" width="11.5092592592593" style="6" customWidth="1"/>
    <col min="2" max="2" width="19.5092592592593" style="6" customWidth="1"/>
    <col min="3" max="4" width="11.5092592592593" style="6" customWidth="1"/>
    <col min="5" max="5" width="23.5092592592593" style="6" customWidth="1"/>
    <col min="6" max="16384" width="9" style="6"/>
  </cols>
  <sheetData>
    <row r="1" customHeight="1" spans="1:5">
      <c r="A1" s="7" t="s">
        <v>0</v>
      </c>
      <c r="B1" s="7" t="s">
        <v>1</v>
      </c>
      <c r="C1" s="7" t="s">
        <v>2</v>
      </c>
      <c r="D1" s="7" t="s">
        <v>3</v>
      </c>
      <c r="E1" s="7" t="s">
        <v>4</v>
      </c>
    </row>
    <row r="2" customHeight="1" spans="1:5">
      <c r="A2" s="8" t="s">
        <v>138</v>
      </c>
      <c r="B2" s="8" t="s">
        <v>139</v>
      </c>
      <c r="C2" s="8" t="s">
        <v>42</v>
      </c>
      <c r="D2" s="8">
        <v>61.81</v>
      </c>
      <c r="E2" s="8"/>
    </row>
    <row r="3" customHeight="1" spans="1:5">
      <c r="A3" s="8"/>
      <c r="B3" s="8" t="s">
        <v>140</v>
      </c>
      <c r="C3" s="8" t="s">
        <v>42</v>
      </c>
      <c r="D3" s="8">
        <f>475.98-475.98</f>
        <v>0</v>
      </c>
      <c r="E3" s="8" t="s">
        <v>141</v>
      </c>
    </row>
    <row r="4" customHeight="1" spans="1:5">
      <c r="A4" s="8"/>
      <c r="B4" s="8" t="s">
        <v>142</v>
      </c>
      <c r="C4" s="8" t="s">
        <v>42</v>
      </c>
      <c r="D4" s="8">
        <v>7.11</v>
      </c>
      <c r="E4" s="8"/>
    </row>
    <row r="5" customHeight="1" spans="1:5">
      <c r="A5" s="8"/>
      <c r="B5" s="8" t="s">
        <v>143</v>
      </c>
      <c r="C5" s="8" t="s">
        <v>44</v>
      </c>
      <c r="D5" s="8">
        <v>139.9</v>
      </c>
      <c r="E5" s="8"/>
    </row>
    <row r="6" customHeight="1" spans="1:5">
      <c r="A6" s="8" t="s">
        <v>144</v>
      </c>
      <c r="B6" s="8" t="s">
        <v>36</v>
      </c>
      <c r="C6" s="8" t="s">
        <v>36</v>
      </c>
      <c r="D6" s="8">
        <v>20</v>
      </c>
      <c r="E6" s="8" t="s">
        <v>57</v>
      </c>
    </row>
    <row r="7" customHeight="1" spans="1:5">
      <c r="A7" s="8"/>
      <c r="B7" s="8" t="s">
        <v>18</v>
      </c>
      <c r="C7" s="8" t="s">
        <v>18</v>
      </c>
      <c r="D7" s="8">
        <v>7</v>
      </c>
      <c r="E7" s="8" t="s">
        <v>109</v>
      </c>
    </row>
    <row r="8" customHeight="1" spans="1:5">
      <c r="A8" s="8"/>
      <c r="B8" s="8" t="s">
        <v>18</v>
      </c>
      <c r="C8" s="8" t="s">
        <v>18</v>
      </c>
      <c r="D8" s="8">
        <v>3</v>
      </c>
      <c r="E8" s="8" t="s">
        <v>110</v>
      </c>
    </row>
    <row r="9" customHeight="1" spans="1:5">
      <c r="A9" s="8"/>
      <c r="B9" s="8" t="s">
        <v>145</v>
      </c>
      <c r="C9" s="8" t="s">
        <v>42</v>
      </c>
      <c r="D9" s="8">
        <v>5.32</v>
      </c>
      <c r="E9" s="8"/>
    </row>
    <row r="10" customHeight="1" spans="1:5">
      <c r="A10" s="8"/>
      <c r="B10" s="8" t="s">
        <v>146</v>
      </c>
      <c r="C10" s="8" t="s">
        <v>42</v>
      </c>
      <c r="D10" s="8">
        <v>4.06</v>
      </c>
      <c r="E10" s="8"/>
    </row>
    <row r="11" customHeight="1" spans="1:5">
      <c r="A11" s="8"/>
      <c r="B11" s="8" t="s">
        <v>147</v>
      </c>
      <c r="C11" s="8" t="s">
        <v>42</v>
      </c>
      <c r="D11" s="8">
        <v>58.23</v>
      </c>
      <c r="E11" s="8" t="s">
        <v>148</v>
      </c>
    </row>
    <row r="12" customHeight="1" spans="1:5">
      <c r="A12" s="8"/>
      <c r="B12" s="8" t="s">
        <v>149</v>
      </c>
      <c r="C12" s="8" t="s">
        <v>42</v>
      </c>
      <c r="D12" s="8">
        <v>39.6</v>
      </c>
      <c r="E12" s="8"/>
    </row>
    <row r="13" customHeight="1" spans="1:5">
      <c r="A13" s="8"/>
      <c r="B13" s="8" t="s">
        <v>150</v>
      </c>
      <c r="C13" s="8" t="s">
        <v>44</v>
      </c>
      <c r="D13" s="8">
        <v>25.09</v>
      </c>
      <c r="E13" s="8"/>
    </row>
    <row r="14" customHeight="1" spans="1:5">
      <c r="A14" s="8"/>
      <c r="B14" s="8" t="s">
        <v>151</v>
      </c>
      <c r="C14" s="8" t="s">
        <v>44</v>
      </c>
      <c r="D14" s="8">
        <v>9.9</v>
      </c>
      <c r="E14" s="8"/>
    </row>
    <row r="15" customHeight="1" spans="1:5">
      <c r="A15" s="8"/>
      <c r="B15" s="8" t="s">
        <v>152</v>
      </c>
      <c r="C15" s="8" t="s">
        <v>44</v>
      </c>
      <c r="D15" s="8">
        <v>30.9</v>
      </c>
      <c r="E15" s="8"/>
    </row>
    <row r="16" customHeight="1" spans="1:5">
      <c r="A16" s="8" t="s">
        <v>153</v>
      </c>
      <c r="B16" s="8" t="s">
        <v>36</v>
      </c>
      <c r="C16" s="8" t="s">
        <v>36</v>
      </c>
      <c r="D16" s="8">
        <v>5</v>
      </c>
      <c r="E16" s="8" t="s">
        <v>57</v>
      </c>
    </row>
    <row r="17" customHeight="1" spans="1:5">
      <c r="A17" s="8"/>
      <c r="B17" s="8" t="s">
        <v>18</v>
      </c>
      <c r="C17" s="8" t="s">
        <v>18</v>
      </c>
      <c r="D17" s="8">
        <v>7</v>
      </c>
      <c r="E17" s="8" t="s">
        <v>109</v>
      </c>
    </row>
    <row r="18" customHeight="1" spans="1:5">
      <c r="A18" s="8"/>
      <c r="B18" s="8" t="s">
        <v>154</v>
      </c>
      <c r="C18" s="8" t="s">
        <v>155</v>
      </c>
      <c r="D18" s="8">
        <v>66.88</v>
      </c>
      <c r="E18" s="8" t="s">
        <v>136</v>
      </c>
    </row>
    <row r="19" customHeight="1" spans="1:5">
      <c r="A19" s="8"/>
      <c r="B19" s="8" t="s">
        <v>156</v>
      </c>
      <c r="C19" s="8" t="s">
        <v>155</v>
      </c>
      <c r="D19" s="8">
        <f>246-246</f>
        <v>0</v>
      </c>
      <c r="E19" s="8" t="s">
        <v>157</v>
      </c>
    </row>
    <row r="20" customHeight="1" spans="1:5">
      <c r="A20" s="8"/>
      <c r="B20" s="8" t="s">
        <v>18</v>
      </c>
      <c r="C20" s="8" t="s">
        <v>18</v>
      </c>
      <c r="D20" s="8">
        <v>3</v>
      </c>
      <c r="E20" s="8"/>
    </row>
    <row r="21" customHeight="1" spans="1:5">
      <c r="A21" s="8" t="s">
        <v>158</v>
      </c>
      <c r="B21" s="8" t="s">
        <v>18</v>
      </c>
      <c r="C21" s="8" t="s">
        <v>18</v>
      </c>
      <c r="D21" s="8">
        <v>7</v>
      </c>
      <c r="E21" s="8"/>
    </row>
    <row r="22" customHeight="1" spans="1:5">
      <c r="A22" s="8"/>
      <c r="B22" s="8" t="s">
        <v>12</v>
      </c>
      <c r="C22" s="8" t="s">
        <v>12</v>
      </c>
      <c r="D22" s="8">
        <v>26.09</v>
      </c>
      <c r="E22" s="8"/>
    </row>
    <row r="23" customHeight="1" spans="1:5">
      <c r="A23" s="8" t="s">
        <v>159</v>
      </c>
      <c r="B23" s="8" t="s">
        <v>36</v>
      </c>
      <c r="C23" s="8" t="s">
        <v>36</v>
      </c>
      <c r="D23" s="8">
        <v>10</v>
      </c>
      <c r="E23" s="8"/>
    </row>
    <row r="24" customHeight="1" spans="1:5">
      <c r="A24" s="8"/>
      <c r="B24" s="8" t="s">
        <v>18</v>
      </c>
      <c r="C24" s="8" t="s">
        <v>18</v>
      </c>
      <c r="D24" s="8">
        <v>7</v>
      </c>
      <c r="E24" s="8"/>
    </row>
    <row r="25" customHeight="1" spans="1:5">
      <c r="A25" s="8"/>
      <c r="B25" s="8" t="s">
        <v>160</v>
      </c>
      <c r="C25" s="8" t="s">
        <v>161</v>
      </c>
      <c r="D25" s="8">
        <v>40.23</v>
      </c>
      <c r="E25" s="8" t="s">
        <v>136</v>
      </c>
    </row>
    <row r="26" customHeight="1" spans="1:5">
      <c r="A26" s="8"/>
      <c r="B26" s="8" t="s">
        <v>18</v>
      </c>
      <c r="C26" s="8" t="s">
        <v>18</v>
      </c>
      <c r="D26" s="8">
        <v>4</v>
      </c>
      <c r="E26" s="8"/>
    </row>
    <row r="27" customHeight="1" spans="1:5">
      <c r="A27" s="8" t="s">
        <v>162</v>
      </c>
      <c r="B27" s="8" t="s">
        <v>163</v>
      </c>
      <c r="C27" s="8" t="s">
        <v>44</v>
      </c>
      <c r="D27" s="8">
        <v>0.86</v>
      </c>
      <c r="E27" s="8"/>
    </row>
    <row r="28" customHeight="1" spans="1:5">
      <c r="A28" s="8"/>
      <c r="B28" s="8" t="s">
        <v>36</v>
      </c>
      <c r="C28" s="8" t="s">
        <v>36</v>
      </c>
      <c r="D28" s="8">
        <v>5</v>
      </c>
      <c r="E28" s="8"/>
    </row>
    <row r="29" customHeight="1" spans="1:5">
      <c r="A29" s="8"/>
      <c r="B29" s="8" t="s">
        <v>18</v>
      </c>
      <c r="C29" s="8" t="s">
        <v>18</v>
      </c>
      <c r="D29" s="8">
        <v>7</v>
      </c>
      <c r="E29" s="8"/>
    </row>
    <row r="30" customHeight="1" spans="1:5">
      <c r="A30" s="8"/>
      <c r="B30" s="8" t="s">
        <v>164</v>
      </c>
      <c r="C30" s="8" t="s">
        <v>14</v>
      </c>
      <c r="D30" s="8">
        <v>1.99</v>
      </c>
      <c r="E30" s="8"/>
    </row>
    <row r="31" customHeight="1" spans="1:5">
      <c r="A31" s="8"/>
      <c r="B31" s="8" t="s">
        <v>165</v>
      </c>
      <c r="C31" s="8" t="s">
        <v>20</v>
      </c>
      <c r="D31" s="8">
        <v>133.4</v>
      </c>
      <c r="E31" s="8"/>
    </row>
    <row r="32" customHeight="1" spans="1:5">
      <c r="A32" s="8"/>
      <c r="B32" s="8" t="s">
        <v>18</v>
      </c>
      <c r="C32" s="8" t="s">
        <v>18</v>
      </c>
      <c r="D32" s="8">
        <v>4</v>
      </c>
      <c r="E32" s="8"/>
    </row>
    <row r="33" customHeight="1" spans="1:5">
      <c r="A33" s="8" t="s">
        <v>166</v>
      </c>
      <c r="B33" s="8" t="s">
        <v>167</v>
      </c>
      <c r="C33" s="8" t="s">
        <v>44</v>
      </c>
      <c r="D33" s="8">
        <v>1635.8</v>
      </c>
      <c r="E33" s="8"/>
    </row>
    <row r="34" customHeight="1" spans="1:5">
      <c r="A34" s="8"/>
      <c r="B34" s="8"/>
      <c r="C34" s="8"/>
      <c r="D34" s="8"/>
      <c r="E34" s="8"/>
    </row>
    <row r="35" customHeight="1" spans="1:5">
      <c r="A35" s="8" t="s">
        <v>168</v>
      </c>
      <c r="B35" s="8" t="s">
        <v>36</v>
      </c>
      <c r="C35" s="8" t="s">
        <v>36</v>
      </c>
      <c r="D35" s="8">
        <v>24</v>
      </c>
      <c r="E35" s="8"/>
    </row>
    <row r="36" customHeight="1" spans="1:5">
      <c r="A36" s="8"/>
      <c r="B36" s="8" t="s">
        <v>169</v>
      </c>
      <c r="C36" s="8" t="s">
        <v>31</v>
      </c>
      <c r="D36" s="8">
        <v>39.84</v>
      </c>
      <c r="E36" s="8"/>
    </row>
    <row r="37" customHeight="1" spans="1:5">
      <c r="A37" s="8" t="s">
        <v>170</v>
      </c>
      <c r="B37" s="8" t="s">
        <v>36</v>
      </c>
      <c r="C37" s="8" t="s">
        <v>36</v>
      </c>
      <c r="D37" s="8">
        <v>15</v>
      </c>
      <c r="E37" s="8"/>
    </row>
    <row r="38" customHeight="1" spans="1:5">
      <c r="A38" s="8"/>
      <c r="B38" s="8" t="s">
        <v>18</v>
      </c>
      <c r="C38" s="8" t="s">
        <v>18</v>
      </c>
      <c r="D38" s="8">
        <v>7</v>
      </c>
      <c r="E38" s="8"/>
    </row>
    <row r="39" customHeight="1" spans="1:5">
      <c r="A39" s="8"/>
      <c r="B39" s="8" t="s">
        <v>18</v>
      </c>
      <c r="C39" s="8" t="s">
        <v>18</v>
      </c>
      <c r="D39" s="8">
        <v>4</v>
      </c>
      <c r="E39" s="8"/>
    </row>
    <row r="40" customHeight="1" spans="1:5">
      <c r="A40" s="8" t="s">
        <v>171</v>
      </c>
      <c r="B40" s="8" t="s">
        <v>172</v>
      </c>
      <c r="C40" s="8" t="s">
        <v>42</v>
      </c>
      <c r="D40" s="8">
        <v>26.02</v>
      </c>
      <c r="E40" s="8" t="s">
        <v>136</v>
      </c>
    </row>
    <row r="41" customHeight="1" spans="1:5">
      <c r="A41" s="8"/>
      <c r="B41" s="8" t="s">
        <v>173</v>
      </c>
      <c r="C41" s="8" t="s">
        <v>42</v>
      </c>
      <c r="D41" s="8">
        <v>5.11</v>
      </c>
      <c r="E41" s="8" t="s">
        <v>136</v>
      </c>
    </row>
    <row r="42" customHeight="1" spans="1:5">
      <c r="A42" s="8"/>
      <c r="B42" s="8" t="s">
        <v>174</v>
      </c>
      <c r="C42" s="8" t="s">
        <v>42</v>
      </c>
      <c r="D42" s="8">
        <v>3.84</v>
      </c>
      <c r="E42" s="8" t="s">
        <v>136</v>
      </c>
    </row>
    <row r="43" customHeight="1" spans="1:5">
      <c r="A43" s="8"/>
      <c r="B43" s="8" t="s">
        <v>175</v>
      </c>
      <c r="C43" s="8" t="s">
        <v>42</v>
      </c>
      <c r="D43" s="8">
        <v>12.6</v>
      </c>
      <c r="E43" s="8" t="s">
        <v>136</v>
      </c>
    </row>
    <row r="44" customHeight="1" spans="1:5">
      <c r="A44" s="8"/>
      <c r="B44" s="8" t="s">
        <v>176</v>
      </c>
      <c r="C44" s="8" t="s">
        <v>42</v>
      </c>
      <c r="D44" s="8">
        <v>4.8</v>
      </c>
      <c r="E44" s="8" t="s">
        <v>136</v>
      </c>
    </row>
    <row r="45" customHeight="1" spans="1:5">
      <c r="A45" s="8"/>
      <c r="B45" s="8" t="s">
        <v>177</v>
      </c>
      <c r="C45" s="8" t="s">
        <v>42</v>
      </c>
      <c r="D45" s="8">
        <v>5.42</v>
      </c>
      <c r="E45" s="8" t="s">
        <v>136</v>
      </c>
    </row>
    <row r="46" customHeight="1" spans="1:5">
      <c r="A46" s="8"/>
      <c r="B46" s="8" t="s">
        <v>178</v>
      </c>
      <c r="C46" s="8" t="s">
        <v>42</v>
      </c>
      <c r="D46" s="8">
        <v>7.34</v>
      </c>
      <c r="E46" s="8" t="s">
        <v>136</v>
      </c>
    </row>
    <row r="47" customHeight="1" spans="1:5">
      <c r="A47" s="8"/>
      <c r="B47" s="8" t="s">
        <v>36</v>
      </c>
      <c r="C47" s="8" t="s">
        <v>36</v>
      </c>
      <c r="D47" s="8">
        <v>5</v>
      </c>
      <c r="E47" s="8"/>
    </row>
    <row r="48" customHeight="1" spans="1:5">
      <c r="A48" s="8"/>
      <c r="B48" s="8" t="s">
        <v>18</v>
      </c>
      <c r="C48" s="8" t="s">
        <v>18</v>
      </c>
      <c r="D48" s="8">
        <v>7</v>
      </c>
      <c r="E48" s="8"/>
    </row>
    <row r="49" customHeight="1" spans="1:5">
      <c r="A49" s="8"/>
      <c r="B49" s="8" t="s">
        <v>179</v>
      </c>
      <c r="C49" s="8" t="s">
        <v>44</v>
      </c>
      <c r="D49" s="8">
        <v>177.62</v>
      </c>
      <c r="E49" s="8"/>
    </row>
    <row r="50" customHeight="1" spans="1:5">
      <c r="A50" s="8"/>
      <c r="B50" s="8" t="s">
        <v>180</v>
      </c>
      <c r="C50" s="8" t="s">
        <v>51</v>
      </c>
      <c r="D50" s="8">
        <v>22.8</v>
      </c>
      <c r="E50" s="8" t="s">
        <v>136</v>
      </c>
    </row>
    <row r="51" customHeight="1" spans="1:5">
      <c r="A51" s="8"/>
      <c r="B51" s="8" t="s">
        <v>18</v>
      </c>
      <c r="C51" s="8" t="s">
        <v>18</v>
      </c>
      <c r="D51" s="8">
        <v>4</v>
      </c>
      <c r="E51" s="8"/>
    </row>
    <row r="52" customHeight="1" spans="1:5">
      <c r="A52" s="8"/>
      <c r="B52" s="8" t="s">
        <v>27</v>
      </c>
      <c r="C52" s="8" t="s">
        <v>27</v>
      </c>
      <c r="D52" s="8">
        <v>401.2</v>
      </c>
      <c r="E52" s="8"/>
    </row>
    <row r="53" customHeight="1" spans="1:5">
      <c r="A53" s="8" t="s">
        <v>181</v>
      </c>
      <c r="B53" s="8" t="s">
        <v>36</v>
      </c>
      <c r="C53" s="8" t="s">
        <v>36</v>
      </c>
      <c r="D53" s="8">
        <v>5</v>
      </c>
      <c r="E53" s="8"/>
    </row>
    <row r="54" customHeight="1" spans="1:5">
      <c r="A54" s="8"/>
      <c r="B54" s="8" t="s">
        <v>18</v>
      </c>
      <c r="C54" s="8" t="s">
        <v>18</v>
      </c>
      <c r="D54" s="8">
        <v>7</v>
      </c>
      <c r="E54" s="8"/>
    </row>
    <row r="55" customHeight="1" spans="1:5">
      <c r="A55" s="8"/>
      <c r="B55" s="8" t="s">
        <v>18</v>
      </c>
      <c r="C55" s="8" t="s">
        <v>18</v>
      </c>
      <c r="D55" s="8">
        <v>4</v>
      </c>
      <c r="E55" s="8"/>
    </row>
    <row r="56" customHeight="1" spans="1:5">
      <c r="A56" s="8" t="s">
        <v>182</v>
      </c>
      <c r="B56" s="8" t="s">
        <v>18</v>
      </c>
      <c r="C56" s="8" t="s">
        <v>18</v>
      </c>
      <c r="D56" s="8">
        <v>7</v>
      </c>
      <c r="E56" s="8"/>
    </row>
    <row r="57" customHeight="1" spans="1:5">
      <c r="A57" s="8"/>
      <c r="B57" s="8" t="s">
        <v>18</v>
      </c>
      <c r="C57" s="8" t="s">
        <v>18</v>
      </c>
      <c r="D57" s="8">
        <v>4</v>
      </c>
      <c r="E57" s="8"/>
    </row>
    <row r="58" customHeight="1" spans="1:5">
      <c r="A58" s="8" t="s">
        <v>183</v>
      </c>
      <c r="B58" s="8" t="s">
        <v>18</v>
      </c>
      <c r="C58" s="8" t="s">
        <v>18</v>
      </c>
      <c r="D58" s="8">
        <v>7</v>
      </c>
      <c r="E58" s="8"/>
    </row>
    <row r="59" customHeight="1" spans="1:5">
      <c r="A59" s="8"/>
      <c r="B59" s="8" t="s">
        <v>184</v>
      </c>
      <c r="C59" s="8" t="s">
        <v>44</v>
      </c>
      <c r="D59" s="8">
        <v>4.38</v>
      </c>
      <c r="E59" s="8"/>
    </row>
    <row r="60" customHeight="1" spans="1:5">
      <c r="A60" s="8"/>
      <c r="B60" s="8" t="s">
        <v>185</v>
      </c>
      <c r="C60" s="8" t="s">
        <v>186</v>
      </c>
      <c r="D60" s="8">
        <v>11</v>
      </c>
      <c r="E60" s="8" t="s">
        <v>187</v>
      </c>
    </row>
    <row r="61" customHeight="1" spans="1:5">
      <c r="A61" s="8"/>
      <c r="B61" s="8" t="s">
        <v>22</v>
      </c>
      <c r="C61" s="8" t="s">
        <v>20</v>
      </c>
      <c r="D61" s="8">
        <v>44.6</v>
      </c>
      <c r="E61" s="8"/>
    </row>
    <row r="62" customHeight="1" spans="1:5">
      <c r="A62" s="8" t="s">
        <v>188</v>
      </c>
      <c r="B62" s="8" t="s">
        <v>12</v>
      </c>
      <c r="C62" s="8" t="s">
        <v>12</v>
      </c>
      <c r="D62" s="8">
        <v>29.35</v>
      </c>
      <c r="E62" s="8"/>
    </row>
    <row r="63" customHeight="1" spans="1:5">
      <c r="A63" s="8"/>
      <c r="B63" s="8" t="s">
        <v>18</v>
      </c>
      <c r="C63" s="8" t="s">
        <v>18</v>
      </c>
      <c r="D63" s="8">
        <v>7</v>
      </c>
      <c r="E63" s="8"/>
    </row>
    <row r="64" customHeight="1" spans="1:5">
      <c r="A64" s="8"/>
      <c r="B64" s="8" t="s">
        <v>189</v>
      </c>
      <c r="C64" s="8" t="s">
        <v>53</v>
      </c>
      <c r="D64" s="8">
        <v>419.61</v>
      </c>
      <c r="E64" s="8"/>
    </row>
    <row r="65" customHeight="1" spans="1:5">
      <c r="A65" s="8"/>
      <c r="B65" s="8" t="s">
        <v>190</v>
      </c>
      <c r="C65" s="8" t="s">
        <v>191</v>
      </c>
      <c r="D65" s="8">
        <v>10000</v>
      </c>
      <c r="E65" s="8"/>
    </row>
    <row r="66" customHeight="1" spans="1:5">
      <c r="A66" s="9" t="s">
        <v>192</v>
      </c>
      <c r="B66" s="8" t="s">
        <v>167</v>
      </c>
      <c r="C66" s="8" t="s">
        <v>44</v>
      </c>
      <c r="D66" s="8">
        <v>3022.46</v>
      </c>
      <c r="E66" s="8"/>
    </row>
    <row r="67" customHeight="1" spans="1:5">
      <c r="A67" s="9"/>
      <c r="B67" s="8"/>
      <c r="C67" s="8"/>
      <c r="D67" s="8"/>
      <c r="E67" s="8"/>
    </row>
    <row r="68" customHeight="1" spans="1:5">
      <c r="A68" s="9" t="s">
        <v>193</v>
      </c>
      <c r="B68" s="8" t="s">
        <v>194</v>
      </c>
      <c r="C68" s="8" t="s">
        <v>195</v>
      </c>
      <c r="D68" s="8">
        <v>22</v>
      </c>
      <c r="E68" s="8"/>
    </row>
    <row r="69" customHeight="1" spans="1:5">
      <c r="A69" s="9"/>
      <c r="B69" s="8" t="s">
        <v>196</v>
      </c>
      <c r="C69" s="8" t="s">
        <v>44</v>
      </c>
      <c r="D69" s="8">
        <v>3</v>
      </c>
      <c r="E69" s="8"/>
    </row>
    <row r="70" customHeight="1" spans="1:5">
      <c r="A70" s="9"/>
      <c r="B70" s="8" t="s">
        <v>197</v>
      </c>
      <c r="C70" s="8" t="s">
        <v>8</v>
      </c>
      <c r="D70" s="8">
        <v>200</v>
      </c>
      <c r="E70" s="8"/>
    </row>
    <row r="71" customHeight="1" spans="1:5">
      <c r="A71" s="9"/>
      <c r="B71" s="8" t="s">
        <v>197</v>
      </c>
      <c r="C71" s="8" t="s">
        <v>8</v>
      </c>
      <c r="D71" s="8">
        <v>200</v>
      </c>
      <c r="E71" s="8"/>
    </row>
    <row r="72" customHeight="1" spans="1:5">
      <c r="A72" s="9"/>
      <c r="B72" s="8" t="s">
        <v>197</v>
      </c>
      <c r="C72" s="8" t="s">
        <v>8</v>
      </c>
      <c r="D72" s="8">
        <v>200</v>
      </c>
      <c r="E72" s="8"/>
    </row>
    <row r="73" customHeight="1" spans="1:5">
      <c r="A73" s="9" t="s">
        <v>198</v>
      </c>
      <c r="B73" s="8" t="s">
        <v>36</v>
      </c>
      <c r="C73" s="8" t="s">
        <v>36</v>
      </c>
      <c r="D73" s="8">
        <v>30</v>
      </c>
      <c r="E73" s="8" t="s">
        <v>57</v>
      </c>
    </row>
    <row r="74" customHeight="1" spans="1:5">
      <c r="A74" s="9"/>
      <c r="B74" s="8"/>
      <c r="C74" s="8"/>
      <c r="D74" s="8"/>
      <c r="E74" s="8"/>
    </row>
    <row r="75" customHeight="1" spans="1:5">
      <c r="A75" s="9" t="s">
        <v>199</v>
      </c>
      <c r="B75" s="8" t="s">
        <v>200</v>
      </c>
      <c r="C75" s="8" t="s">
        <v>125</v>
      </c>
      <c r="D75" s="8">
        <v>500</v>
      </c>
      <c r="E75" s="8" t="s">
        <v>201</v>
      </c>
    </row>
    <row r="76" customHeight="1" spans="1:5">
      <c r="A76" s="9"/>
      <c r="B76" s="8" t="s">
        <v>27</v>
      </c>
      <c r="C76" s="8" t="s">
        <v>27</v>
      </c>
      <c r="D76" s="8">
        <v>405</v>
      </c>
      <c r="E76" s="8" t="s">
        <v>202</v>
      </c>
    </row>
    <row r="77" customHeight="1" spans="1:5">
      <c r="A77" s="9" t="s">
        <v>203</v>
      </c>
      <c r="B77" s="8"/>
      <c r="C77" s="8"/>
      <c r="D77" s="8"/>
      <c r="E77" s="8"/>
    </row>
    <row r="78" customHeight="1" spans="1:5">
      <c r="A78" s="9"/>
      <c r="B78" s="8"/>
      <c r="C78" s="8"/>
      <c r="D78" s="8"/>
      <c r="E78" s="8"/>
    </row>
    <row r="79" customHeight="1" spans="1:5">
      <c r="A79" s="9" t="s">
        <v>204</v>
      </c>
      <c r="B79" s="8" t="s">
        <v>205</v>
      </c>
      <c r="C79" s="8" t="s">
        <v>8</v>
      </c>
      <c r="D79" s="8">
        <v>55</v>
      </c>
      <c r="E79" s="8" t="s">
        <v>206</v>
      </c>
    </row>
    <row r="80" customHeight="1" spans="1:5">
      <c r="A80" s="9"/>
      <c r="B80" s="8" t="s">
        <v>103</v>
      </c>
      <c r="C80" s="8" t="s">
        <v>104</v>
      </c>
      <c r="D80" s="3">
        <v>5348.93</v>
      </c>
      <c r="E80" s="8"/>
    </row>
    <row r="81" customHeight="1" spans="1:5">
      <c r="A81" s="9" t="s">
        <v>207</v>
      </c>
      <c r="B81" s="8" t="s">
        <v>27</v>
      </c>
      <c r="C81" s="8" t="s">
        <v>27</v>
      </c>
      <c r="D81" s="8">
        <v>200</v>
      </c>
      <c r="E81" s="8" t="s">
        <v>202</v>
      </c>
    </row>
    <row r="82" customHeight="1" spans="1:5">
      <c r="A82" s="9"/>
      <c r="B82" s="8"/>
      <c r="C82" s="8"/>
      <c r="D82" s="8"/>
      <c r="E82" s="8"/>
    </row>
    <row r="83" customHeight="1" spans="1:5">
      <c r="A83" s="9" t="s">
        <v>208</v>
      </c>
      <c r="B83" s="8" t="s">
        <v>209</v>
      </c>
      <c r="C83" s="8" t="s">
        <v>14</v>
      </c>
      <c r="D83" s="8">
        <v>62.2</v>
      </c>
      <c r="E83" s="8" t="s">
        <v>210</v>
      </c>
    </row>
    <row r="84" customHeight="1" spans="1:5">
      <c r="A84" s="9"/>
      <c r="B84" s="8" t="s">
        <v>27</v>
      </c>
      <c r="C84" s="8" t="s">
        <v>27</v>
      </c>
      <c r="D84" s="8">
        <v>300</v>
      </c>
      <c r="E84" s="8" t="s">
        <v>202</v>
      </c>
    </row>
    <row r="85" customHeight="1" spans="1:5">
      <c r="A85" s="9" t="s">
        <v>211</v>
      </c>
      <c r="B85" s="8" t="s">
        <v>27</v>
      </c>
      <c r="C85" s="8" t="s">
        <v>27</v>
      </c>
      <c r="D85" s="8">
        <v>200</v>
      </c>
      <c r="E85" s="8" t="s">
        <v>202</v>
      </c>
    </row>
    <row r="86" customHeight="1" spans="1:5">
      <c r="A86" s="9"/>
      <c r="B86" s="8"/>
      <c r="C86" s="8"/>
      <c r="D86" s="8"/>
      <c r="E86" s="8"/>
    </row>
    <row r="87" customHeight="1" spans="1:5">
      <c r="A87" s="8" t="s">
        <v>212</v>
      </c>
      <c r="B87" s="8" t="s">
        <v>18</v>
      </c>
      <c r="C87" s="8" t="s">
        <v>18</v>
      </c>
      <c r="D87" s="8">
        <v>7</v>
      </c>
      <c r="E87" s="8"/>
    </row>
    <row r="88" customHeight="1" spans="1:5">
      <c r="A88" s="8"/>
      <c r="B88" s="8" t="s">
        <v>12</v>
      </c>
      <c r="C88" s="8" t="s">
        <v>12</v>
      </c>
      <c r="D88" s="8">
        <v>28.84</v>
      </c>
      <c r="E88" s="8"/>
    </row>
    <row r="89" customHeight="1" spans="1:5">
      <c r="A89" s="8" t="s">
        <v>213</v>
      </c>
      <c r="B89" s="8" t="s">
        <v>36</v>
      </c>
      <c r="C89" s="8" t="s">
        <v>36</v>
      </c>
      <c r="D89" s="8">
        <v>10</v>
      </c>
      <c r="E89" s="8"/>
    </row>
    <row r="90" customHeight="1" spans="1:5">
      <c r="A90" s="8"/>
      <c r="B90" s="8" t="s">
        <v>18</v>
      </c>
      <c r="C90" s="8" t="s">
        <v>18</v>
      </c>
      <c r="D90" s="8">
        <v>7</v>
      </c>
      <c r="E90" s="8"/>
    </row>
    <row r="91" customHeight="1" spans="1:5">
      <c r="A91" s="8"/>
      <c r="B91" s="8" t="s">
        <v>214</v>
      </c>
      <c r="C91" s="8" t="s">
        <v>215</v>
      </c>
      <c r="D91" s="8">
        <v>100</v>
      </c>
      <c r="E91" s="8"/>
    </row>
    <row r="92" customHeight="1" spans="1:5">
      <c r="A92" s="8" t="s">
        <v>216</v>
      </c>
      <c r="B92" s="8" t="s">
        <v>18</v>
      </c>
      <c r="C92" s="8" t="s">
        <v>18</v>
      </c>
      <c r="D92" s="8">
        <v>7</v>
      </c>
      <c r="E92" s="8"/>
    </row>
    <row r="93" customHeight="1" spans="1:5">
      <c r="A93" s="8"/>
      <c r="B93" s="8" t="s">
        <v>129</v>
      </c>
      <c r="C93" s="8" t="s">
        <v>12</v>
      </c>
      <c r="D93" s="8">
        <v>0.9</v>
      </c>
      <c r="E93" s="8"/>
    </row>
    <row r="94" customHeight="1" spans="1:5">
      <c r="A94" s="8"/>
      <c r="B94" s="8" t="s">
        <v>217</v>
      </c>
      <c r="C94" s="8" t="s">
        <v>122</v>
      </c>
      <c r="D94" s="8">
        <v>2533.33</v>
      </c>
      <c r="E94" s="8"/>
    </row>
    <row r="95" customHeight="1" spans="1:5">
      <c r="A95" s="8" t="s">
        <v>218</v>
      </c>
      <c r="B95" s="8" t="s">
        <v>18</v>
      </c>
      <c r="C95" s="8" t="s">
        <v>18</v>
      </c>
      <c r="D95" s="8">
        <v>7</v>
      </c>
      <c r="E95" s="8"/>
    </row>
    <row r="96" customHeight="1" spans="1:5">
      <c r="A96" s="8"/>
      <c r="B96" s="8" t="s">
        <v>130</v>
      </c>
      <c r="C96" s="8" t="s">
        <v>12</v>
      </c>
      <c r="D96" s="8">
        <v>36.49</v>
      </c>
      <c r="E96" s="8"/>
    </row>
    <row r="97" customHeight="1" spans="1:5">
      <c r="A97" s="8" t="s">
        <v>219</v>
      </c>
      <c r="B97" s="8" t="s">
        <v>36</v>
      </c>
      <c r="C97" s="8" t="s">
        <v>36</v>
      </c>
      <c r="D97" s="8">
        <v>15</v>
      </c>
      <c r="E97" s="8"/>
    </row>
    <row r="98" customHeight="1" spans="1:5">
      <c r="A98" s="8"/>
      <c r="B98" s="8" t="s">
        <v>18</v>
      </c>
      <c r="C98" s="8" t="s">
        <v>18</v>
      </c>
      <c r="D98" s="8">
        <v>7</v>
      </c>
      <c r="E98" s="8"/>
    </row>
    <row r="99" customHeight="1" spans="1:5">
      <c r="A99" s="8"/>
      <c r="B99" s="8" t="s">
        <v>220</v>
      </c>
      <c r="C99" s="8" t="s">
        <v>73</v>
      </c>
      <c r="D99" s="8">
        <v>21.5</v>
      </c>
      <c r="E99" s="8"/>
    </row>
    <row r="100" customHeight="1" spans="1:5">
      <c r="A100" s="8"/>
      <c r="B100" s="8" t="s">
        <v>221</v>
      </c>
      <c r="C100" s="8" t="s">
        <v>44</v>
      </c>
      <c r="D100" s="8">
        <v>1</v>
      </c>
      <c r="E100" s="8" t="s">
        <v>222</v>
      </c>
    </row>
    <row r="101" customHeight="1" spans="1:5">
      <c r="A101" s="8"/>
      <c r="B101" s="8" t="s">
        <v>223</v>
      </c>
      <c r="C101" s="8" t="s">
        <v>44</v>
      </c>
      <c r="D101" s="8">
        <v>7.9</v>
      </c>
      <c r="E101" s="8"/>
    </row>
    <row r="102" customHeight="1" spans="1:5">
      <c r="A102" s="8"/>
      <c r="B102" s="8" t="s">
        <v>137</v>
      </c>
      <c r="C102" s="8" t="s">
        <v>20</v>
      </c>
      <c r="D102" s="8">
        <v>49.89</v>
      </c>
      <c r="E102" s="8"/>
    </row>
    <row r="116" customHeight="1" spans="1:2">
      <c r="A116"/>
      <c r="B116"/>
    </row>
  </sheetData>
  <mergeCells count="28">
    <mergeCell ref="A2:A5"/>
    <mergeCell ref="A6:A15"/>
    <mergeCell ref="A16:A20"/>
    <mergeCell ref="A21:A22"/>
    <mergeCell ref="A23:A26"/>
    <mergeCell ref="A27:A32"/>
    <mergeCell ref="A33:A34"/>
    <mergeCell ref="A35:A36"/>
    <mergeCell ref="A37:A39"/>
    <mergeCell ref="A40:A52"/>
    <mergeCell ref="A53:A55"/>
    <mergeCell ref="A56:A57"/>
    <mergeCell ref="A58:A61"/>
    <mergeCell ref="A62:A65"/>
    <mergeCell ref="A66:A67"/>
    <mergeCell ref="A68:A72"/>
    <mergeCell ref="A73:A74"/>
    <mergeCell ref="A75:A76"/>
    <mergeCell ref="A77:A78"/>
    <mergeCell ref="A79:A80"/>
    <mergeCell ref="A81:A82"/>
    <mergeCell ref="A83:A84"/>
    <mergeCell ref="A85:A86"/>
    <mergeCell ref="A87:A88"/>
    <mergeCell ref="A89:A91"/>
    <mergeCell ref="A92:A94"/>
    <mergeCell ref="A95:A96"/>
    <mergeCell ref="A97:A102"/>
  </mergeCells>
  <conditionalFormatting sqref="C63">
    <cfRule type="cellIs" dxfId="0" priority="19" operator="equal">
      <formula>#REF!</formula>
    </cfRule>
    <cfRule type="cellIs" dxfId="1" priority="20" operator="equal">
      <formula>#REF!</formula>
    </cfRule>
    <cfRule type="cellIs" dxfId="2" priority="21" operator="equal">
      <formula>#REF!</formula>
    </cfRule>
    <cfRule type="cellIs" dxfId="3" priority="22" operator="equal">
      <formula>#REF!</formula>
    </cfRule>
    <cfRule type="cellIs" dxfId="3" priority="23" operator="equal">
      <formula>#REF!</formula>
    </cfRule>
    <cfRule type="cellIs" dxfId="3" priority="24" operator="equal">
      <formula>#REF!</formula>
    </cfRule>
    <cfRule type="cellIs" dxfId="3" priority="25" operator="equal">
      <formula>#REF!</formula>
    </cfRule>
    <cfRule type="cellIs" dxfId="3" priority="26" operator="equal">
      <formula>#REF!</formula>
    </cfRule>
    <cfRule type="cellIs" dxfId="4" priority="27" operator="equal">
      <formula>#REF!</formula>
    </cfRule>
  </conditionalFormatting>
  <conditionalFormatting sqref="C80">
    <cfRule type="cellIs" dxfId="0" priority="10" operator="equal">
      <formula>#REF!</formula>
    </cfRule>
    <cfRule type="cellIs" dxfId="1" priority="11" operator="equal">
      <formula>#REF!</formula>
    </cfRule>
    <cfRule type="cellIs" dxfId="2" priority="12" operator="equal">
      <formula>#REF!</formula>
    </cfRule>
    <cfRule type="cellIs" dxfId="3" priority="13" operator="equal">
      <formula>#REF!</formula>
    </cfRule>
    <cfRule type="cellIs" dxfId="3" priority="14" operator="equal">
      <formula>#REF!</formula>
    </cfRule>
    <cfRule type="cellIs" dxfId="3" priority="15" operator="equal">
      <formula>#REF!</formula>
    </cfRule>
    <cfRule type="cellIs" dxfId="3" priority="16" operator="equal">
      <formula>#REF!</formula>
    </cfRule>
    <cfRule type="cellIs" dxfId="3" priority="17" operator="equal">
      <formula>#REF!</formula>
    </cfRule>
    <cfRule type="cellIs" dxfId="4" priority="18" operator="equal">
      <formula>#REF!</formula>
    </cfRule>
  </conditionalFormatting>
  <conditionalFormatting sqref="C98:C101">
    <cfRule type="cellIs" dxfId="0" priority="1" operator="equal">
      <formula>#REF!</formula>
    </cfRule>
    <cfRule type="cellIs" dxfId="1" priority="2" operator="equal">
      <formula>#REF!</formula>
    </cfRule>
    <cfRule type="cellIs" dxfId="2" priority="3" operator="equal">
      <formula>#REF!</formula>
    </cfRule>
    <cfRule type="cellIs" dxfId="3" priority="4" operator="equal">
      <formula>#REF!</formula>
    </cfRule>
    <cfRule type="cellIs" dxfId="3" priority="5" operator="equal">
      <formula>#REF!</formula>
    </cfRule>
    <cfRule type="cellIs" dxfId="3" priority="6" operator="equal">
      <formula>#REF!</formula>
    </cfRule>
    <cfRule type="cellIs" dxfId="3" priority="7" operator="equal">
      <formula>#REF!</formula>
    </cfRule>
    <cfRule type="cellIs" dxfId="3" priority="8" operator="equal">
      <formula>#REF!</formula>
    </cfRule>
    <cfRule type="cellIs" dxfId="4" priority="9" operator="equal">
      <formula>#REF!</formula>
    </cfRule>
  </conditionalFormatting>
  <conditionalFormatting sqref="C1:C14 C102:C1048576 C16:C62 C64:C79 C89:C97 C81:C87">
    <cfRule type="cellIs" dxfId="0" priority="28" operator="equal">
      <formula>#REF!</formula>
    </cfRule>
    <cfRule type="cellIs" dxfId="1" priority="29" operator="equal">
      <formula>#REF!</formula>
    </cfRule>
    <cfRule type="cellIs" dxfId="2" priority="30" operator="equal">
      <formula>#REF!</formula>
    </cfRule>
    <cfRule type="cellIs" dxfId="3" priority="31" operator="equal">
      <formula>#REF!</formula>
    </cfRule>
    <cfRule type="cellIs" dxfId="3" priority="32" operator="equal">
      <formula>#REF!</formula>
    </cfRule>
    <cfRule type="cellIs" dxfId="3" priority="33" operator="equal">
      <formula>#REF!</formula>
    </cfRule>
    <cfRule type="cellIs" dxfId="3" priority="34" operator="equal">
      <formula>#REF!</formula>
    </cfRule>
    <cfRule type="cellIs" dxfId="3" priority="35" operator="equal">
      <formula>#REF!</formula>
    </cfRule>
    <cfRule type="cellIs" dxfId="4" priority="36" operator="equal">
      <formula>#REF!</formula>
    </cfRule>
  </conditionalFormatting>
  <dataValidations count="1">
    <dataValidation type="list" allowBlank="1" showInputMessage="1" showErrorMessage="1" sqref="C1 C2 C7 C8 C9 C10 C11 C12 C13 C14 C16 C17 C20 C24 C25 C26 C29 C30 C31 C38 C39 C47 C48 C49 C50 C51 C54 C59 C60 C63 C64 C69 C80 C89 C90 C93 C98 C99 C102 C3:C4 C5:C6 C18:C19 C21:C23 C27:C28 C32:C37 C40:C46 C52:C53 C55:C58 C61:C62 C65:C68 C70:C72 C73:C79 C81:C87 C91:C92 C94:C97 C100:C101 C103:C1048576">
      <formula1>#REF!</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8"/>
  <sheetViews>
    <sheetView workbookViewId="0">
      <selection activeCell="A106" sqref="$A106:$XFD106"/>
    </sheetView>
  </sheetViews>
  <sheetFormatPr defaultColWidth="9" defaultRowHeight="16.5" customHeight="1" outlineLevelCol="4"/>
  <cols>
    <col min="1" max="1" width="11.5092592592593" style="6" customWidth="1"/>
    <col min="2" max="2" width="19.5092592592593" style="6" customWidth="1"/>
    <col min="3" max="4" width="11.5092592592593" style="6" customWidth="1"/>
    <col min="5" max="5" width="23.5092592592593" style="6" customWidth="1"/>
    <col min="6" max="16384" width="9" style="6"/>
  </cols>
  <sheetData>
    <row r="1" customHeight="1" spans="1:5">
      <c r="A1" s="7" t="s">
        <v>0</v>
      </c>
      <c r="B1" s="7" t="s">
        <v>1</v>
      </c>
      <c r="C1" s="7" t="s">
        <v>2</v>
      </c>
      <c r="D1" s="7" t="s">
        <v>3</v>
      </c>
      <c r="E1" s="7" t="s">
        <v>4</v>
      </c>
    </row>
    <row r="2" customHeight="1" spans="1:5">
      <c r="A2" s="8" t="s">
        <v>224</v>
      </c>
      <c r="B2" s="8" t="s">
        <v>18</v>
      </c>
      <c r="C2" s="8" t="s">
        <v>18</v>
      </c>
      <c r="D2" s="8">
        <v>7</v>
      </c>
      <c r="E2" s="8" t="s">
        <v>225</v>
      </c>
    </row>
    <row r="3" customHeight="1" spans="1:5">
      <c r="A3" s="8"/>
      <c r="B3" s="8"/>
      <c r="C3" s="8"/>
      <c r="D3" s="8"/>
      <c r="E3" s="8"/>
    </row>
    <row r="4" customHeight="1" spans="1:5">
      <c r="A4" s="8" t="s">
        <v>226</v>
      </c>
      <c r="B4" s="8" t="s">
        <v>36</v>
      </c>
      <c r="C4" s="8" t="s">
        <v>36</v>
      </c>
      <c r="D4" s="8">
        <v>10</v>
      </c>
      <c r="E4" s="8"/>
    </row>
    <row r="5" customHeight="1" spans="1:5">
      <c r="A5" s="8"/>
      <c r="B5" s="8" t="s">
        <v>18</v>
      </c>
      <c r="C5" s="8" t="s">
        <v>18</v>
      </c>
      <c r="D5" s="8">
        <v>7</v>
      </c>
      <c r="E5" s="8"/>
    </row>
    <row r="6" customHeight="1" spans="1:5">
      <c r="A6" s="8"/>
      <c r="B6" s="8" t="s">
        <v>18</v>
      </c>
      <c r="C6" s="8" t="s">
        <v>18</v>
      </c>
      <c r="D6" s="8">
        <v>4</v>
      </c>
      <c r="E6" s="8"/>
    </row>
    <row r="7" customHeight="1" spans="1:5">
      <c r="A7" s="8"/>
      <c r="B7" s="8" t="s">
        <v>27</v>
      </c>
      <c r="C7" s="8" t="s">
        <v>27</v>
      </c>
      <c r="D7" s="8">
        <v>417.79</v>
      </c>
      <c r="E7" s="8"/>
    </row>
    <row r="8" customHeight="1" spans="1:5">
      <c r="A8" s="8"/>
      <c r="B8" s="8" t="s">
        <v>227</v>
      </c>
      <c r="C8" s="8" t="s">
        <v>53</v>
      </c>
      <c r="D8" s="8">
        <v>26.36</v>
      </c>
      <c r="E8" s="8"/>
    </row>
    <row r="9" customHeight="1" spans="1:5">
      <c r="A9" s="8" t="s">
        <v>228</v>
      </c>
      <c r="B9" s="8" t="s">
        <v>36</v>
      </c>
      <c r="C9" s="8" t="s">
        <v>36</v>
      </c>
      <c r="D9" s="8">
        <v>5</v>
      </c>
      <c r="E9" s="8"/>
    </row>
    <row r="10" customHeight="1" spans="1:5">
      <c r="A10" s="8"/>
      <c r="B10" s="8" t="s">
        <v>18</v>
      </c>
      <c r="C10" s="8" t="s">
        <v>18</v>
      </c>
      <c r="D10" s="8">
        <v>7</v>
      </c>
      <c r="E10" s="8"/>
    </row>
    <row r="11" customHeight="1" spans="1:5">
      <c r="A11" s="8"/>
      <c r="B11" s="8" t="s">
        <v>229</v>
      </c>
      <c r="C11" s="8" t="s">
        <v>51</v>
      </c>
      <c r="D11" s="8">
        <v>362.15</v>
      </c>
      <c r="E11" s="8"/>
    </row>
    <row r="12" customHeight="1" spans="1:5">
      <c r="A12" s="8" t="s">
        <v>230</v>
      </c>
      <c r="B12" s="8" t="s">
        <v>18</v>
      </c>
      <c r="C12" s="8" t="s">
        <v>18</v>
      </c>
      <c r="D12" s="8">
        <v>7</v>
      </c>
      <c r="E12" s="8"/>
    </row>
    <row r="13" customHeight="1" spans="1:5">
      <c r="A13" s="8"/>
      <c r="B13" s="8"/>
      <c r="C13" s="8"/>
      <c r="D13" s="8"/>
      <c r="E13" s="8"/>
    </row>
    <row r="14" customHeight="1" spans="1:5">
      <c r="A14" s="8" t="s">
        <v>231</v>
      </c>
      <c r="B14" s="8" t="s">
        <v>232</v>
      </c>
      <c r="C14" s="8" t="s">
        <v>51</v>
      </c>
      <c r="D14" s="8">
        <v>17.8</v>
      </c>
      <c r="E14" s="8"/>
    </row>
    <row r="15" customHeight="1" spans="1:5">
      <c r="A15" s="8"/>
      <c r="B15" s="8" t="s">
        <v>18</v>
      </c>
      <c r="C15" s="8" t="s">
        <v>18</v>
      </c>
      <c r="D15" s="8">
        <v>7</v>
      </c>
      <c r="E15" s="8"/>
    </row>
    <row r="16" customHeight="1" spans="1:5">
      <c r="A16" s="8"/>
      <c r="B16" s="8" t="s">
        <v>19</v>
      </c>
      <c r="C16" s="8" t="s">
        <v>20</v>
      </c>
      <c r="D16" s="8">
        <v>9</v>
      </c>
      <c r="E16" s="8"/>
    </row>
    <row r="17" customHeight="1" spans="1:5">
      <c r="A17" s="8" t="s">
        <v>233</v>
      </c>
      <c r="B17" s="8" t="s">
        <v>36</v>
      </c>
      <c r="C17" s="8" t="s">
        <v>36</v>
      </c>
      <c r="D17" s="8">
        <v>15</v>
      </c>
      <c r="E17" s="8"/>
    </row>
    <row r="18" customHeight="1" spans="1:5">
      <c r="A18" s="8"/>
      <c r="B18" s="8" t="s">
        <v>18</v>
      </c>
      <c r="C18" s="8" t="s">
        <v>18</v>
      </c>
      <c r="D18" s="8">
        <v>7</v>
      </c>
      <c r="E18" s="8"/>
    </row>
    <row r="19" customHeight="1" spans="1:5">
      <c r="A19" s="8"/>
      <c r="B19" s="8" t="s">
        <v>234</v>
      </c>
      <c r="C19" s="8" t="s">
        <v>20</v>
      </c>
      <c r="D19" s="8">
        <v>123.3</v>
      </c>
      <c r="E19" s="8"/>
    </row>
    <row r="20" customHeight="1" spans="1:5">
      <c r="A20" s="8" t="s">
        <v>235</v>
      </c>
      <c r="B20" s="8" t="s">
        <v>36</v>
      </c>
      <c r="C20" s="8" t="s">
        <v>36</v>
      </c>
      <c r="D20" s="8">
        <v>5</v>
      </c>
      <c r="E20" s="8" t="s">
        <v>236</v>
      </c>
    </row>
    <row r="21" customHeight="1" spans="1:5">
      <c r="A21" s="8"/>
      <c r="B21" s="8"/>
      <c r="C21" s="8"/>
      <c r="D21" s="8"/>
      <c r="E21" s="8"/>
    </row>
    <row r="22" customHeight="1" spans="1:5">
      <c r="A22" s="8" t="s">
        <v>237</v>
      </c>
      <c r="B22" s="8" t="s">
        <v>238</v>
      </c>
      <c r="C22" s="8" t="s">
        <v>14</v>
      </c>
      <c r="D22" s="8">
        <v>29.9</v>
      </c>
      <c r="E22" s="8"/>
    </row>
    <row r="23" customHeight="1" spans="1:5">
      <c r="A23" s="8"/>
      <c r="B23" s="8" t="s">
        <v>239</v>
      </c>
      <c r="C23" s="8" t="s">
        <v>51</v>
      </c>
      <c r="D23" s="8">
        <v>4.82</v>
      </c>
      <c r="E23" s="8" t="s">
        <v>136</v>
      </c>
    </row>
    <row r="24" customHeight="1" spans="1:5">
      <c r="A24" s="8"/>
      <c r="B24" s="8" t="s">
        <v>240</v>
      </c>
      <c r="C24" s="8" t="s">
        <v>51</v>
      </c>
      <c r="D24" s="8">
        <v>5.58</v>
      </c>
      <c r="E24" s="8"/>
    </row>
    <row r="25" customHeight="1" spans="1:5">
      <c r="A25" s="8"/>
      <c r="B25" s="8" t="s">
        <v>241</v>
      </c>
      <c r="C25" s="8" t="s">
        <v>51</v>
      </c>
      <c r="D25" s="8">
        <v>6.56</v>
      </c>
      <c r="E25" s="8"/>
    </row>
    <row r="26" customHeight="1" spans="1:5">
      <c r="A26" s="8"/>
      <c r="B26" s="8" t="s">
        <v>242</v>
      </c>
      <c r="C26" s="8" t="s">
        <v>44</v>
      </c>
      <c r="D26" s="8">
        <v>39.9</v>
      </c>
      <c r="E26" s="8"/>
    </row>
    <row r="27" customHeight="1" spans="1:5">
      <c r="A27" s="8"/>
      <c r="B27" s="8" t="s">
        <v>243</v>
      </c>
      <c r="C27" s="8" t="s">
        <v>14</v>
      </c>
      <c r="D27" s="8">
        <v>50.51</v>
      </c>
      <c r="E27" s="8"/>
    </row>
    <row r="28" customHeight="1" spans="1:5">
      <c r="A28" s="8"/>
      <c r="B28" s="8" t="s">
        <v>243</v>
      </c>
      <c r="C28" s="8" t="s">
        <v>14</v>
      </c>
      <c r="D28" s="8">
        <v>3</v>
      </c>
      <c r="E28" s="8" t="s">
        <v>244</v>
      </c>
    </row>
    <row r="29" customHeight="1" spans="1:5">
      <c r="A29" s="8" t="s">
        <v>245</v>
      </c>
      <c r="B29" s="8" t="s">
        <v>36</v>
      </c>
      <c r="C29" s="8" t="s">
        <v>36</v>
      </c>
      <c r="D29" s="8">
        <v>15</v>
      </c>
      <c r="E29" s="8" t="s">
        <v>57</v>
      </c>
    </row>
    <row r="30" customHeight="1" spans="1:5">
      <c r="A30" s="8"/>
      <c r="B30" s="8" t="s">
        <v>18</v>
      </c>
      <c r="C30" s="8" t="s">
        <v>18</v>
      </c>
      <c r="D30" s="8">
        <v>7</v>
      </c>
      <c r="E30" s="8"/>
    </row>
    <row r="31" customHeight="1" spans="1:5">
      <c r="A31" s="8"/>
      <c r="B31" s="8" t="s">
        <v>246</v>
      </c>
      <c r="C31" s="8" t="s">
        <v>51</v>
      </c>
      <c r="D31" s="8">
        <v>2.79</v>
      </c>
      <c r="E31" s="8" t="s">
        <v>136</v>
      </c>
    </row>
    <row r="32" customHeight="1" spans="1:5">
      <c r="A32" s="8"/>
      <c r="B32" s="8" t="s">
        <v>247</v>
      </c>
      <c r="C32" s="8" t="s">
        <v>73</v>
      </c>
      <c r="D32" s="8">
        <v>176.5</v>
      </c>
      <c r="E32" s="8" t="s">
        <v>136</v>
      </c>
    </row>
    <row r="33" customHeight="1" spans="1:5">
      <c r="A33" s="8" t="s">
        <v>248</v>
      </c>
      <c r="B33" s="8" t="s">
        <v>36</v>
      </c>
      <c r="C33" s="8" t="s">
        <v>36</v>
      </c>
      <c r="D33" s="8">
        <v>5</v>
      </c>
      <c r="E33" s="8" t="s">
        <v>57</v>
      </c>
    </row>
    <row r="34" customHeight="1" spans="1:5">
      <c r="A34" s="8"/>
      <c r="B34" s="8" t="s">
        <v>18</v>
      </c>
      <c r="C34" s="8" t="s">
        <v>18</v>
      </c>
      <c r="D34" s="8">
        <v>7</v>
      </c>
      <c r="E34" s="8"/>
    </row>
    <row r="35" customHeight="1" spans="1:5">
      <c r="A35" s="8"/>
      <c r="B35" s="8" t="s">
        <v>249</v>
      </c>
      <c r="C35" s="8" t="s">
        <v>250</v>
      </c>
      <c r="D35" s="8">
        <v>520</v>
      </c>
      <c r="E35" s="8"/>
    </row>
    <row r="36" customHeight="1" spans="1:5">
      <c r="A36" s="8" t="s">
        <v>251</v>
      </c>
      <c r="B36" s="8" t="s">
        <v>252</v>
      </c>
      <c r="C36" s="8" t="s">
        <v>215</v>
      </c>
      <c r="D36" s="8">
        <v>6200</v>
      </c>
      <c r="E36" s="8"/>
    </row>
    <row r="37" customHeight="1" spans="1:5">
      <c r="A37" s="8"/>
      <c r="B37" s="8" t="s">
        <v>36</v>
      </c>
      <c r="C37" s="8" t="s">
        <v>36</v>
      </c>
      <c r="D37" s="8">
        <v>5</v>
      </c>
      <c r="E37" s="8" t="s">
        <v>57</v>
      </c>
    </row>
    <row r="38" customHeight="1" spans="1:5">
      <c r="A38" s="8"/>
      <c r="B38" s="8" t="s">
        <v>18</v>
      </c>
      <c r="C38" s="8" t="s">
        <v>18</v>
      </c>
      <c r="D38" s="8">
        <v>7</v>
      </c>
      <c r="E38" s="8"/>
    </row>
    <row r="39" customHeight="1" spans="1:5">
      <c r="A39" s="8"/>
      <c r="B39" s="8" t="s">
        <v>106</v>
      </c>
      <c r="C39" s="8" t="s">
        <v>14</v>
      </c>
      <c r="D39" s="8">
        <v>18</v>
      </c>
      <c r="E39" s="8"/>
    </row>
    <row r="40" customHeight="1" spans="1:5">
      <c r="A40" s="8" t="s">
        <v>253</v>
      </c>
      <c r="B40" s="8" t="s">
        <v>18</v>
      </c>
      <c r="C40" s="8" t="s">
        <v>18</v>
      </c>
      <c r="D40" s="8">
        <v>7</v>
      </c>
      <c r="E40" s="8"/>
    </row>
    <row r="41" customHeight="1" spans="1:5">
      <c r="A41" s="8"/>
      <c r="B41" s="8" t="s">
        <v>254</v>
      </c>
      <c r="C41" s="8" t="s">
        <v>155</v>
      </c>
      <c r="D41" s="8">
        <v>8</v>
      </c>
      <c r="E41" s="8"/>
    </row>
    <row r="42" customHeight="1" spans="1:5">
      <c r="A42" s="8"/>
      <c r="B42" s="8" t="s">
        <v>18</v>
      </c>
      <c r="C42" s="8" t="s">
        <v>18</v>
      </c>
      <c r="D42" s="8">
        <v>7</v>
      </c>
      <c r="E42" s="8"/>
    </row>
    <row r="43" customHeight="1" spans="1:5">
      <c r="A43" s="8" t="s">
        <v>255</v>
      </c>
      <c r="B43" s="8" t="s">
        <v>256</v>
      </c>
      <c r="C43" s="8" t="s">
        <v>155</v>
      </c>
      <c r="D43" s="8">
        <v>11.1</v>
      </c>
      <c r="E43" s="8"/>
    </row>
    <row r="44" customHeight="1" spans="1:5">
      <c r="A44" s="8"/>
      <c r="B44" s="8" t="s">
        <v>257</v>
      </c>
      <c r="C44" s="8" t="s">
        <v>155</v>
      </c>
      <c r="D44" s="8">
        <v>23.59</v>
      </c>
      <c r="E44" s="8"/>
    </row>
    <row r="45" customHeight="1" spans="1:5">
      <c r="A45" s="8"/>
      <c r="B45" s="8" t="s">
        <v>252</v>
      </c>
      <c r="C45" s="8" t="s">
        <v>215</v>
      </c>
      <c r="D45" s="8">
        <v>434.47</v>
      </c>
      <c r="E45" s="8"/>
    </row>
    <row r="46" customHeight="1" spans="1:5">
      <c r="A46" s="8" t="s">
        <v>258</v>
      </c>
      <c r="B46" s="8" t="s">
        <v>238</v>
      </c>
      <c r="C46" s="8" t="s">
        <v>14</v>
      </c>
      <c r="D46" s="8">
        <v>29.9</v>
      </c>
      <c r="E46" s="8"/>
    </row>
    <row r="47" customHeight="1" spans="1:5">
      <c r="A47" s="8"/>
      <c r="B47" s="8" t="s">
        <v>259</v>
      </c>
      <c r="C47" s="8" t="s">
        <v>44</v>
      </c>
      <c r="D47" s="8">
        <v>312.5</v>
      </c>
      <c r="E47" s="8"/>
    </row>
    <row r="48" customHeight="1" spans="1:5">
      <c r="A48" s="8" t="s">
        <v>260</v>
      </c>
      <c r="B48" s="8" t="s">
        <v>261</v>
      </c>
      <c r="C48" s="8" t="s">
        <v>135</v>
      </c>
      <c r="D48" s="8">
        <f>287.37-287.37</f>
        <v>0</v>
      </c>
      <c r="E48" s="8" t="s">
        <v>262</v>
      </c>
    </row>
    <row r="49" customHeight="1" spans="1:5">
      <c r="A49" s="8"/>
      <c r="B49" s="8" t="s">
        <v>263</v>
      </c>
      <c r="C49" s="8" t="s">
        <v>135</v>
      </c>
      <c r="D49" s="8">
        <v>118.9</v>
      </c>
      <c r="E49" s="8"/>
    </row>
    <row r="50" customHeight="1" spans="1:5">
      <c r="A50" s="8" t="s">
        <v>264</v>
      </c>
      <c r="B50" s="8" t="s">
        <v>36</v>
      </c>
      <c r="C50" s="8" t="s">
        <v>36</v>
      </c>
      <c r="D50" s="8">
        <v>25</v>
      </c>
      <c r="E50" s="8" t="s">
        <v>57</v>
      </c>
    </row>
    <row r="51" customHeight="1" spans="1:5">
      <c r="A51" s="8"/>
      <c r="B51" s="8" t="s">
        <v>18</v>
      </c>
      <c r="C51" s="8" t="s">
        <v>18</v>
      </c>
      <c r="D51" s="8">
        <v>7</v>
      </c>
      <c r="E51" s="8"/>
    </row>
    <row r="52" customHeight="1" spans="1:5">
      <c r="A52" s="8"/>
      <c r="B52" s="8" t="s">
        <v>265</v>
      </c>
      <c r="C52" s="8" t="s">
        <v>51</v>
      </c>
      <c r="D52" s="8">
        <v>2.99</v>
      </c>
      <c r="E52" s="8" t="s">
        <v>136</v>
      </c>
    </row>
    <row r="53" customHeight="1" spans="1:5">
      <c r="A53" s="8" t="s">
        <v>266</v>
      </c>
      <c r="B53" s="8" t="s">
        <v>36</v>
      </c>
      <c r="C53" s="8" t="s">
        <v>36</v>
      </c>
      <c r="D53" s="8">
        <v>5</v>
      </c>
      <c r="E53" s="8" t="s">
        <v>57</v>
      </c>
    </row>
    <row r="54" customHeight="1" spans="1:5">
      <c r="A54" s="8"/>
      <c r="B54" s="8" t="s">
        <v>18</v>
      </c>
      <c r="C54" s="8" t="s">
        <v>18</v>
      </c>
      <c r="D54" s="8">
        <v>7</v>
      </c>
      <c r="E54" s="8"/>
    </row>
    <row r="55" customHeight="1" spans="1:5">
      <c r="A55" s="8" t="s">
        <v>267</v>
      </c>
      <c r="B55" s="8" t="s">
        <v>268</v>
      </c>
      <c r="C55" s="8" t="s">
        <v>135</v>
      </c>
      <c r="D55" s="8">
        <v>496.78</v>
      </c>
      <c r="E55" s="8"/>
    </row>
    <row r="56" customHeight="1" spans="1:5">
      <c r="A56" s="8"/>
      <c r="B56" s="8" t="s">
        <v>269</v>
      </c>
      <c r="C56" s="8" t="s">
        <v>135</v>
      </c>
      <c r="D56" s="8">
        <v>937.64</v>
      </c>
      <c r="E56" s="8"/>
    </row>
    <row r="57" customHeight="1" spans="1:5">
      <c r="A57" s="8"/>
      <c r="B57" s="8" t="s">
        <v>270</v>
      </c>
      <c r="C57" s="8" t="s">
        <v>14</v>
      </c>
      <c r="D57" s="8">
        <v>6.8</v>
      </c>
      <c r="E57" s="8"/>
    </row>
    <row r="58" customHeight="1" spans="1:5">
      <c r="A58" s="8"/>
      <c r="B58" s="8" t="s">
        <v>271</v>
      </c>
      <c r="C58" s="8" t="s">
        <v>14</v>
      </c>
      <c r="D58" s="8">
        <v>9.88</v>
      </c>
      <c r="E58" s="8"/>
    </row>
    <row r="59" customHeight="1" spans="1:5">
      <c r="A59" s="8"/>
      <c r="B59" s="8" t="s">
        <v>18</v>
      </c>
      <c r="C59" s="8" t="s">
        <v>18</v>
      </c>
      <c r="D59" s="8">
        <v>7</v>
      </c>
      <c r="E59" s="8"/>
    </row>
    <row r="60" customHeight="1" spans="1:5">
      <c r="A60" s="8"/>
      <c r="B60" s="8" t="s">
        <v>272</v>
      </c>
      <c r="C60" s="8" t="s">
        <v>12</v>
      </c>
      <c r="D60" s="8">
        <v>34.8</v>
      </c>
      <c r="E60" s="8"/>
    </row>
    <row r="61" customHeight="1" spans="1:5">
      <c r="A61" s="8" t="s">
        <v>273</v>
      </c>
      <c r="B61" s="8" t="s">
        <v>36</v>
      </c>
      <c r="C61" s="8" t="s">
        <v>36</v>
      </c>
      <c r="D61" s="8">
        <v>10</v>
      </c>
      <c r="E61" s="8" t="s">
        <v>57</v>
      </c>
    </row>
    <row r="62" customHeight="1" spans="1:5">
      <c r="A62" s="8"/>
      <c r="B62" s="8" t="s">
        <v>18</v>
      </c>
      <c r="C62" s="8" t="s">
        <v>18</v>
      </c>
      <c r="D62" s="8">
        <v>7</v>
      </c>
      <c r="E62" s="8"/>
    </row>
    <row r="63" customHeight="1" spans="1:5">
      <c r="A63" s="8" t="s">
        <v>274</v>
      </c>
      <c r="B63" s="8" t="s">
        <v>36</v>
      </c>
      <c r="C63" s="8" t="s">
        <v>36</v>
      </c>
      <c r="D63" s="8">
        <v>5</v>
      </c>
      <c r="E63" s="8" t="s">
        <v>57</v>
      </c>
    </row>
    <row r="64" customHeight="1" spans="1:5">
      <c r="A64" s="8"/>
      <c r="B64" s="8" t="s">
        <v>18</v>
      </c>
      <c r="C64" s="8" t="s">
        <v>18</v>
      </c>
      <c r="D64" s="8">
        <v>7</v>
      </c>
      <c r="E64" s="8"/>
    </row>
    <row r="65" customHeight="1" spans="1:5">
      <c r="A65" s="8"/>
      <c r="B65" s="8" t="s">
        <v>275</v>
      </c>
      <c r="C65" s="8" t="s">
        <v>125</v>
      </c>
      <c r="D65" s="8">
        <v>6.02</v>
      </c>
      <c r="E65" s="8"/>
    </row>
    <row r="66" customHeight="1" spans="1:5">
      <c r="A66" s="8"/>
      <c r="B66" s="8" t="s">
        <v>27</v>
      </c>
      <c r="C66" s="8" t="s">
        <v>27</v>
      </c>
      <c r="D66" s="8">
        <v>402.72</v>
      </c>
      <c r="E66" s="8"/>
    </row>
    <row r="67" customHeight="1" spans="1:5">
      <c r="A67" s="8" t="s">
        <v>276</v>
      </c>
      <c r="B67" s="8" t="s">
        <v>36</v>
      </c>
      <c r="C67" s="8" t="s">
        <v>36</v>
      </c>
      <c r="D67" s="8">
        <v>5</v>
      </c>
      <c r="E67" s="8"/>
    </row>
    <row r="68" customHeight="1" spans="1:5">
      <c r="A68" s="8"/>
      <c r="B68" s="8" t="s">
        <v>18</v>
      </c>
      <c r="C68" s="8" t="s">
        <v>18</v>
      </c>
      <c r="D68" s="8">
        <v>109</v>
      </c>
      <c r="E68" s="8" t="s">
        <v>277</v>
      </c>
    </row>
    <row r="69" customHeight="1" spans="1:5">
      <c r="A69" s="8"/>
      <c r="B69" s="8" t="s">
        <v>278</v>
      </c>
      <c r="C69" s="8" t="s">
        <v>76</v>
      </c>
      <c r="D69" s="8">
        <v>19</v>
      </c>
      <c r="E69" s="8"/>
    </row>
    <row r="70" customHeight="1" spans="1:5">
      <c r="A70" s="8"/>
      <c r="B70" s="8" t="s">
        <v>279</v>
      </c>
      <c r="C70" s="8" t="s">
        <v>76</v>
      </c>
      <c r="D70" s="8">
        <v>15</v>
      </c>
      <c r="E70" s="8"/>
    </row>
    <row r="71" customHeight="1" spans="1:5">
      <c r="A71" s="8" t="s">
        <v>280</v>
      </c>
      <c r="B71" s="8" t="s">
        <v>281</v>
      </c>
      <c r="C71" s="8" t="s">
        <v>76</v>
      </c>
      <c r="D71" s="8">
        <v>8</v>
      </c>
      <c r="E71" s="8"/>
    </row>
    <row r="72" customHeight="1" spans="1:5">
      <c r="A72" s="8"/>
      <c r="B72" s="8" t="s">
        <v>281</v>
      </c>
      <c r="C72" s="8" t="s">
        <v>76</v>
      </c>
      <c r="D72" s="8">
        <v>16</v>
      </c>
      <c r="E72" s="8"/>
    </row>
    <row r="73" customHeight="1" spans="1:5">
      <c r="A73" s="8"/>
      <c r="B73" s="8" t="s">
        <v>282</v>
      </c>
      <c r="C73" s="8" t="s">
        <v>76</v>
      </c>
      <c r="D73" s="8">
        <v>80</v>
      </c>
      <c r="E73" s="8"/>
    </row>
    <row r="74" customHeight="1" spans="1:5">
      <c r="A74" s="8"/>
      <c r="B74" s="8" t="s">
        <v>283</v>
      </c>
      <c r="C74" s="8" t="s">
        <v>14</v>
      </c>
      <c r="D74" s="8">
        <v>108</v>
      </c>
      <c r="E74" s="8" t="s">
        <v>284</v>
      </c>
    </row>
    <row r="75" customHeight="1" spans="1:5">
      <c r="A75" s="8"/>
      <c r="B75" s="8" t="s">
        <v>18</v>
      </c>
      <c r="C75" s="8" t="s">
        <v>18</v>
      </c>
      <c r="D75" s="8">
        <v>111</v>
      </c>
      <c r="E75" s="8" t="s">
        <v>285</v>
      </c>
    </row>
    <row r="76" customHeight="1" spans="1:5">
      <c r="A76" s="8" t="s">
        <v>286</v>
      </c>
      <c r="B76" s="8" t="s">
        <v>36</v>
      </c>
      <c r="C76" s="8" t="s">
        <v>36</v>
      </c>
      <c r="D76" s="8">
        <v>5</v>
      </c>
      <c r="E76" s="8" t="s">
        <v>57</v>
      </c>
    </row>
    <row r="77" customHeight="1" spans="1:5">
      <c r="A77" s="8"/>
      <c r="B77" s="8" t="s">
        <v>18</v>
      </c>
      <c r="C77" s="8" t="s">
        <v>18</v>
      </c>
      <c r="D77" s="8">
        <v>7</v>
      </c>
      <c r="E77" s="8"/>
    </row>
    <row r="78" customHeight="1" spans="1:5">
      <c r="A78" s="8"/>
      <c r="B78" s="8" t="s">
        <v>287</v>
      </c>
      <c r="C78" s="8" t="s">
        <v>14</v>
      </c>
      <c r="D78" s="8">
        <v>15.3</v>
      </c>
      <c r="E78" s="8"/>
    </row>
    <row r="79" customHeight="1" spans="1:5">
      <c r="A79" s="8"/>
      <c r="B79" s="8" t="s">
        <v>194</v>
      </c>
      <c r="C79" s="8" t="s">
        <v>195</v>
      </c>
      <c r="D79" s="8">
        <v>21</v>
      </c>
      <c r="E79" s="8"/>
    </row>
    <row r="80" customHeight="1" spans="1:5">
      <c r="A80" s="8" t="s">
        <v>288</v>
      </c>
      <c r="B80" s="8" t="s">
        <v>36</v>
      </c>
      <c r="C80" s="8" t="s">
        <v>36</v>
      </c>
      <c r="D80" s="8">
        <v>5</v>
      </c>
      <c r="E80" s="8" t="s">
        <v>57</v>
      </c>
    </row>
    <row r="81" customHeight="1" spans="1:5">
      <c r="A81" s="8"/>
      <c r="B81" s="8" t="s">
        <v>18</v>
      </c>
      <c r="C81" s="8" t="s">
        <v>18</v>
      </c>
      <c r="D81" s="8">
        <v>7</v>
      </c>
      <c r="E81" s="8"/>
    </row>
    <row r="82" customHeight="1" spans="1:5">
      <c r="A82" s="8" t="s">
        <v>289</v>
      </c>
      <c r="B82" s="8" t="s">
        <v>36</v>
      </c>
      <c r="C82" s="8" t="s">
        <v>36</v>
      </c>
      <c r="D82" s="8">
        <v>5</v>
      </c>
      <c r="E82" s="8" t="s">
        <v>57</v>
      </c>
    </row>
    <row r="83" customHeight="1" spans="1:5">
      <c r="A83" s="8"/>
      <c r="B83" s="8" t="s">
        <v>18</v>
      </c>
      <c r="C83" s="8" t="s">
        <v>18</v>
      </c>
      <c r="D83" s="8">
        <v>7</v>
      </c>
      <c r="E83" s="8"/>
    </row>
    <row r="84" customHeight="1" spans="1:5">
      <c r="A84" s="8"/>
      <c r="B84" s="8" t="s">
        <v>290</v>
      </c>
      <c r="C84" s="8"/>
      <c r="D84" s="8">
        <v>17.8</v>
      </c>
      <c r="E84" s="8"/>
    </row>
    <row r="85" customHeight="1" spans="1:5">
      <c r="A85" s="8" t="s">
        <v>291</v>
      </c>
      <c r="B85" s="8" t="s">
        <v>217</v>
      </c>
      <c r="C85" s="8" t="s">
        <v>122</v>
      </c>
      <c r="D85" s="8">
        <v>2533.33</v>
      </c>
      <c r="E85" s="8"/>
    </row>
    <row r="86" customHeight="1" spans="1:5">
      <c r="A86" s="8"/>
      <c r="B86" s="8" t="s">
        <v>36</v>
      </c>
      <c r="C86" s="8" t="s">
        <v>36</v>
      </c>
      <c r="D86" s="8">
        <v>5</v>
      </c>
      <c r="E86" s="8" t="s">
        <v>57</v>
      </c>
    </row>
    <row r="87" customHeight="1" spans="1:5">
      <c r="A87" s="8"/>
      <c r="B87" s="8" t="s">
        <v>18</v>
      </c>
      <c r="C87" s="8" t="s">
        <v>18</v>
      </c>
      <c r="D87" s="8">
        <v>7</v>
      </c>
      <c r="E87" s="8"/>
    </row>
    <row r="88" customHeight="1" spans="1:5">
      <c r="A88" s="8"/>
      <c r="B88" s="8" t="s">
        <v>167</v>
      </c>
      <c r="C88" s="8"/>
      <c r="D88" s="8">
        <v>105.7</v>
      </c>
      <c r="E88" s="8" t="s">
        <v>292</v>
      </c>
    </row>
    <row r="89" customHeight="1" spans="1:5">
      <c r="A89" s="8" t="s">
        <v>293</v>
      </c>
      <c r="B89" s="8" t="s">
        <v>36</v>
      </c>
      <c r="C89" s="8" t="s">
        <v>36</v>
      </c>
      <c r="D89" s="8">
        <v>5</v>
      </c>
      <c r="E89" s="8" t="s">
        <v>57</v>
      </c>
    </row>
    <row r="90" customHeight="1" spans="1:5">
      <c r="A90" s="8"/>
      <c r="B90" s="8" t="s">
        <v>18</v>
      </c>
      <c r="C90" s="8" t="s">
        <v>18</v>
      </c>
      <c r="D90" s="8">
        <v>7</v>
      </c>
      <c r="E90" s="8"/>
    </row>
    <row r="91" customHeight="1" spans="1:5">
      <c r="A91" s="8"/>
      <c r="B91" s="8" t="s">
        <v>294</v>
      </c>
      <c r="C91" s="8"/>
      <c r="D91" s="8">
        <v>244.63</v>
      </c>
      <c r="E91" s="8"/>
    </row>
    <row r="92" customHeight="1" spans="1:5">
      <c r="A92" s="8"/>
      <c r="B92" s="8" t="s">
        <v>295</v>
      </c>
      <c r="C92" s="8"/>
      <c r="D92" s="8">
        <v>6.27</v>
      </c>
      <c r="E92" s="8"/>
    </row>
    <row r="93" customHeight="1" spans="1:5">
      <c r="A93" s="8"/>
      <c r="B93" s="8" t="s">
        <v>27</v>
      </c>
      <c r="C93" s="8" t="s">
        <v>27</v>
      </c>
      <c r="D93" s="8">
        <v>200</v>
      </c>
      <c r="E93" s="8" t="s">
        <v>296</v>
      </c>
    </row>
    <row r="94" customHeight="1" spans="1:5">
      <c r="A94" s="8" t="s">
        <v>297</v>
      </c>
      <c r="B94" s="8" t="s">
        <v>298</v>
      </c>
      <c r="C94" s="8"/>
      <c r="D94" s="8">
        <v>14</v>
      </c>
      <c r="E94" s="8" t="s">
        <v>299</v>
      </c>
    </row>
    <row r="95" customHeight="1" spans="1:5">
      <c r="A95" s="8"/>
      <c r="B95" s="8"/>
      <c r="C95" s="8"/>
      <c r="D95" s="8"/>
      <c r="E95" s="8"/>
    </row>
    <row r="96" customHeight="1" spans="1:5">
      <c r="A96" s="8" t="s">
        <v>300</v>
      </c>
      <c r="B96" s="8"/>
      <c r="C96" s="8"/>
      <c r="D96" s="8"/>
      <c r="E96" s="8"/>
    </row>
    <row r="97" customHeight="1" spans="1:5">
      <c r="A97" s="8"/>
      <c r="B97" s="8"/>
      <c r="C97" s="8"/>
      <c r="D97" s="8"/>
      <c r="E97" s="8"/>
    </row>
    <row r="98" customHeight="1" spans="1:5">
      <c r="A98" s="8" t="s">
        <v>301</v>
      </c>
      <c r="B98" s="8" t="s">
        <v>36</v>
      </c>
      <c r="C98" s="8" t="s">
        <v>36</v>
      </c>
      <c r="D98" s="8">
        <v>15</v>
      </c>
      <c r="E98" s="8"/>
    </row>
    <row r="99" customHeight="1" spans="1:5">
      <c r="A99" s="8"/>
      <c r="B99" s="8" t="s">
        <v>18</v>
      </c>
      <c r="C99" s="8" t="s">
        <v>18</v>
      </c>
      <c r="D99" s="8">
        <v>7</v>
      </c>
      <c r="E99" s="8"/>
    </row>
    <row r="100" customHeight="1" spans="1:5">
      <c r="A100" s="8"/>
      <c r="B100" s="8" t="s">
        <v>302</v>
      </c>
      <c r="C100" s="8"/>
      <c r="D100" s="8">
        <v>17.68</v>
      </c>
      <c r="E100" s="8"/>
    </row>
    <row r="101" customHeight="1" spans="1:5">
      <c r="A101" s="8"/>
      <c r="B101" s="8" t="s">
        <v>303</v>
      </c>
      <c r="C101" s="8" t="s">
        <v>20</v>
      </c>
      <c r="D101" s="8">
        <v>99.79</v>
      </c>
      <c r="E101" s="8"/>
    </row>
    <row r="102" customHeight="1" spans="1:5">
      <c r="A102" s="8" t="s">
        <v>304</v>
      </c>
      <c r="B102" s="8" t="s">
        <v>305</v>
      </c>
      <c r="C102" s="8"/>
      <c r="D102" s="8">
        <v>0.01</v>
      </c>
      <c r="E102" s="8"/>
    </row>
    <row r="103" customHeight="1" spans="1:5">
      <c r="A103" s="8"/>
      <c r="B103" s="8" t="s">
        <v>18</v>
      </c>
      <c r="C103" s="8" t="s">
        <v>18</v>
      </c>
      <c r="D103" s="8">
        <v>7</v>
      </c>
      <c r="E103" s="8"/>
    </row>
    <row r="104" customHeight="1" spans="1:5">
      <c r="A104" s="8"/>
      <c r="B104" s="8" t="s">
        <v>306</v>
      </c>
      <c r="C104" s="8"/>
      <c r="D104" s="8">
        <v>43</v>
      </c>
      <c r="E104" s="8"/>
    </row>
    <row r="105" customHeight="1" spans="1:5">
      <c r="A105" s="8"/>
      <c r="B105" s="8" t="s">
        <v>306</v>
      </c>
      <c r="C105" s="8"/>
      <c r="D105" s="8">
        <v>9</v>
      </c>
      <c r="E105" s="8"/>
    </row>
    <row r="118" customHeight="1" spans="1:2">
      <c r="A118"/>
      <c r="B118"/>
    </row>
  </sheetData>
  <mergeCells count="31">
    <mergeCell ref="A2:A3"/>
    <mergeCell ref="A4:A8"/>
    <mergeCell ref="A9:A11"/>
    <mergeCell ref="A12:A13"/>
    <mergeCell ref="A14:A16"/>
    <mergeCell ref="A17:A19"/>
    <mergeCell ref="A20:A21"/>
    <mergeCell ref="A22:A28"/>
    <mergeCell ref="A29:A32"/>
    <mergeCell ref="A33:A35"/>
    <mergeCell ref="A36:A39"/>
    <mergeCell ref="A40:A42"/>
    <mergeCell ref="A43:A45"/>
    <mergeCell ref="A46:A47"/>
    <mergeCell ref="A48:A49"/>
    <mergeCell ref="A50:A52"/>
    <mergeCell ref="A53:A54"/>
    <mergeCell ref="A55:A60"/>
    <mergeCell ref="A61:A62"/>
    <mergeCell ref="A63:A66"/>
    <mergeCell ref="A67:A70"/>
    <mergeCell ref="A71:A75"/>
    <mergeCell ref="A76:A79"/>
    <mergeCell ref="A80:A81"/>
    <mergeCell ref="A82:A84"/>
    <mergeCell ref="A85:A88"/>
    <mergeCell ref="A89:A93"/>
    <mergeCell ref="A94:A95"/>
    <mergeCell ref="A96:A97"/>
    <mergeCell ref="A98:A101"/>
    <mergeCell ref="A102:A105"/>
  </mergeCells>
  <conditionalFormatting sqref="C10">
    <cfRule type="cellIs" dxfId="0" priority="163" operator="equal">
      <formula>#REF!</formula>
    </cfRule>
    <cfRule type="cellIs" dxfId="1" priority="164" operator="equal">
      <formula>#REF!</formula>
    </cfRule>
    <cfRule type="cellIs" dxfId="2" priority="165" operator="equal">
      <formula>#REF!</formula>
    </cfRule>
    <cfRule type="cellIs" dxfId="3" priority="166" operator="equal">
      <formula>#REF!</formula>
    </cfRule>
    <cfRule type="cellIs" dxfId="3" priority="167" operator="equal">
      <formula>#REF!</formula>
    </cfRule>
    <cfRule type="cellIs" dxfId="3" priority="168" operator="equal">
      <formula>#REF!</formula>
    </cfRule>
    <cfRule type="cellIs" dxfId="3" priority="169" operator="equal">
      <formula>#REF!</formula>
    </cfRule>
    <cfRule type="cellIs" dxfId="3" priority="170" operator="equal">
      <formula>#REF!</formula>
    </cfRule>
    <cfRule type="cellIs" dxfId="4" priority="171" operator="equal">
      <formula>#REF!</formula>
    </cfRule>
  </conditionalFormatting>
  <conditionalFormatting sqref="C34">
    <cfRule type="cellIs" dxfId="0" priority="145" operator="equal">
      <formula>#REF!</formula>
    </cfRule>
    <cfRule type="cellIs" dxfId="1" priority="146" operator="equal">
      <formula>#REF!</formula>
    </cfRule>
    <cfRule type="cellIs" dxfId="2" priority="147" operator="equal">
      <formula>#REF!</formula>
    </cfRule>
    <cfRule type="cellIs" dxfId="3" priority="148" operator="equal">
      <formula>#REF!</formula>
    </cfRule>
    <cfRule type="cellIs" dxfId="3" priority="149" operator="equal">
      <formula>#REF!</formula>
    </cfRule>
    <cfRule type="cellIs" dxfId="3" priority="150" operator="equal">
      <formula>#REF!</formula>
    </cfRule>
    <cfRule type="cellIs" dxfId="3" priority="151" operator="equal">
      <formula>#REF!</formula>
    </cfRule>
    <cfRule type="cellIs" dxfId="3" priority="152" operator="equal">
      <formula>#REF!</formula>
    </cfRule>
    <cfRule type="cellIs" dxfId="4" priority="153" operator="equal">
      <formula>#REF!</formula>
    </cfRule>
  </conditionalFormatting>
  <conditionalFormatting sqref="C36">
    <cfRule type="cellIs" dxfId="0" priority="136" operator="equal">
      <formula>#REF!</formula>
    </cfRule>
    <cfRule type="cellIs" dxfId="1" priority="137" operator="equal">
      <formula>#REF!</formula>
    </cfRule>
    <cfRule type="cellIs" dxfId="2" priority="138" operator="equal">
      <formula>#REF!</formula>
    </cfRule>
    <cfRule type="cellIs" dxfId="3" priority="139" operator="equal">
      <formula>#REF!</formula>
    </cfRule>
    <cfRule type="cellIs" dxfId="3" priority="140" operator="equal">
      <formula>#REF!</formula>
    </cfRule>
    <cfRule type="cellIs" dxfId="3" priority="141" operator="equal">
      <formula>#REF!</formula>
    </cfRule>
    <cfRule type="cellIs" dxfId="3" priority="142" operator="equal">
      <formula>#REF!</formula>
    </cfRule>
    <cfRule type="cellIs" dxfId="3" priority="143" operator="equal">
      <formula>#REF!</formula>
    </cfRule>
    <cfRule type="cellIs" dxfId="4" priority="144" operator="equal">
      <formula>#REF!</formula>
    </cfRule>
  </conditionalFormatting>
  <conditionalFormatting sqref="C37">
    <cfRule type="cellIs" dxfId="0" priority="118" operator="equal">
      <formula>#REF!</formula>
    </cfRule>
    <cfRule type="cellIs" dxfId="1" priority="119" operator="equal">
      <formula>#REF!</formula>
    </cfRule>
    <cfRule type="cellIs" dxfId="2" priority="120" operator="equal">
      <formula>#REF!</formula>
    </cfRule>
    <cfRule type="cellIs" dxfId="3" priority="121" operator="equal">
      <formula>#REF!</formula>
    </cfRule>
    <cfRule type="cellIs" dxfId="3" priority="122" operator="equal">
      <formula>#REF!</formula>
    </cfRule>
    <cfRule type="cellIs" dxfId="3" priority="123" operator="equal">
      <formula>#REF!</formula>
    </cfRule>
    <cfRule type="cellIs" dxfId="3" priority="124" operator="equal">
      <formula>#REF!</formula>
    </cfRule>
    <cfRule type="cellIs" dxfId="3" priority="125" operator="equal">
      <formula>#REF!</formula>
    </cfRule>
    <cfRule type="cellIs" dxfId="4" priority="126" operator="equal">
      <formula>#REF!</formula>
    </cfRule>
  </conditionalFormatting>
  <conditionalFormatting sqref="C38">
    <cfRule type="cellIs" dxfId="0" priority="109" operator="equal">
      <formula>#REF!</formula>
    </cfRule>
    <cfRule type="cellIs" dxfId="1" priority="110" operator="equal">
      <formula>#REF!</formula>
    </cfRule>
    <cfRule type="cellIs" dxfId="2" priority="111" operator="equal">
      <formula>#REF!</formula>
    </cfRule>
    <cfRule type="cellIs" dxfId="3" priority="112" operator="equal">
      <formula>#REF!</formula>
    </cfRule>
    <cfRule type="cellIs" dxfId="3" priority="113" operator="equal">
      <formula>#REF!</formula>
    </cfRule>
    <cfRule type="cellIs" dxfId="3" priority="114" operator="equal">
      <formula>#REF!</formula>
    </cfRule>
    <cfRule type="cellIs" dxfId="3" priority="115" operator="equal">
      <formula>#REF!</formula>
    </cfRule>
    <cfRule type="cellIs" dxfId="3" priority="116" operator="equal">
      <formula>#REF!</formula>
    </cfRule>
    <cfRule type="cellIs" dxfId="4" priority="117" operator="equal">
      <formula>#REF!</formula>
    </cfRule>
  </conditionalFormatting>
  <conditionalFormatting sqref="C59">
    <cfRule type="cellIs" dxfId="0" priority="100" operator="equal">
      <formula>#REF!</formula>
    </cfRule>
    <cfRule type="cellIs" dxfId="1" priority="101" operator="equal">
      <formula>#REF!</formula>
    </cfRule>
    <cfRule type="cellIs" dxfId="2" priority="102" operator="equal">
      <formula>#REF!</formula>
    </cfRule>
    <cfRule type="cellIs" dxfId="3" priority="103" operator="equal">
      <formula>#REF!</formula>
    </cfRule>
    <cfRule type="cellIs" dxfId="3" priority="104" operator="equal">
      <formula>#REF!</formula>
    </cfRule>
    <cfRule type="cellIs" dxfId="3" priority="105" operator="equal">
      <formula>#REF!</formula>
    </cfRule>
    <cfRule type="cellIs" dxfId="3" priority="106" operator="equal">
      <formula>#REF!</formula>
    </cfRule>
    <cfRule type="cellIs" dxfId="3" priority="107" operator="equal">
      <formula>#REF!</formula>
    </cfRule>
    <cfRule type="cellIs" dxfId="4" priority="108" operator="equal">
      <formula>#REF!</formula>
    </cfRule>
  </conditionalFormatting>
  <conditionalFormatting sqref="C83">
    <cfRule type="cellIs" dxfId="0" priority="1" operator="equal">
      <formula>#REF!</formula>
    </cfRule>
    <cfRule type="cellIs" dxfId="1" priority="2" operator="equal">
      <formula>#REF!</formula>
    </cfRule>
    <cfRule type="cellIs" dxfId="2" priority="3" operator="equal">
      <formula>#REF!</formula>
    </cfRule>
    <cfRule type="cellIs" dxfId="3" priority="4" operator="equal">
      <formula>#REF!</formula>
    </cfRule>
    <cfRule type="cellIs" dxfId="3" priority="5" operator="equal">
      <formula>#REF!</formula>
    </cfRule>
    <cfRule type="cellIs" dxfId="3" priority="6" operator="equal">
      <formula>#REF!</formula>
    </cfRule>
    <cfRule type="cellIs" dxfId="3" priority="7" operator="equal">
      <formula>#REF!</formula>
    </cfRule>
    <cfRule type="cellIs" dxfId="3" priority="8" operator="equal">
      <formula>#REF!</formula>
    </cfRule>
    <cfRule type="cellIs" dxfId="4" priority="9" operator="equal">
      <formula>#REF!</formula>
    </cfRule>
  </conditionalFormatting>
  <conditionalFormatting sqref="C85">
    <cfRule type="cellIs" dxfId="0" priority="73" operator="equal">
      <formula>#REF!</formula>
    </cfRule>
    <cfRule type="cellIs" dxfId="1" priority="74" operator="equal">
      <formula>#REF!</formula>
    </cfRule>
    <cfRule type="cellIs" dxfId="2" priority="75" operator="equal">
      <formula>#REF!</formula>
    </cfRule>
    <cfRule type="cellIs" dxfId="3" priority="76" operator="equal">
      <formula>#REF!</formula>
    </cfRule>
    <cfRule type="cellIs" dxfId="3" priority="77" operator="equal">
      <formula>#REF!</formula>
    </cfRule>
    <cfRule type="cellIs" dxfId="3" priority="78" operator="equal">
      <formula>#REF!</formula>
    </cfRule>
    <cfRule type="cellIs" dxfId="3" priority="79" operator="equal">
      <formula>#REF!</formula>
    </cfRule>
    <cfRule type="cellIs" dxfId="3" priority="80" operator="equal">
      <formula>#REF!</formula>
    </cfRule>
    <cfRule type="cellIs" dxfId="4" priority="81" operator="equal">
      <formula>#REF!</formula>
    </cfRule>
  </conditionalFormatting>
  <conditionalFormatting sqref="C87">
    <cfRule type="cellIs" dxfId="0" priority="37" operator="equal">
      <formula>#REF!</formula>
    </cfRule>
    <cfRule type="cellIs" dxfId="1" priority="38" operator="equal">
      <formula>#REF!</formula>
    </cfRule>
    <cfRule type="cellIs" dxfId="2" priority="39" operator="equal">
      <formula>#REF!</formula>
    </cfRule>
    <cfRule type="cellIs" dxfId="3" priority="40" operator="equal">
      <formula>#REF!</formula>
    </cfRule>
    <cfRule type="cellIs" dxfId="3" priority="41" operator="equal">
      <formula>#REF!</formula>
    </cfRule>
    <cfRule type="cellIs" dxfId="3" priority="42" operator="equal">
      <formula>#REF!</formula>
    </cfRule>
    <cfRule type="cellIs" dxfId="3" priority="43" operator="equal">
      <formula>#REF!</formula>
    </cfRule>
    <cfRule type="cellIs" dxfId="3" priority="44" operator="equal">
      <formula>#REF!</formula>
    </cfRule>
    <cfRule type="cellIs" dxfId="4" priority="45" operator="equal">
      <formula>#REF!</formula>
    </cfRule>
  </conditionalFormatting>
  <conditionalFormatting sqref="C103">
    <cfRule type="cellIs" dxfId="0" priority="19" operator="equal">
      <formula>#REF!</formula>
    </cfRule>
    <cfRule type="cellIs" dxfId="1" priority="20" operator="equal">
      <formula>#REF!</formula>
    </cfRule>
    <cfRule type="cellIs" dxfId="2" priority="21" operator="equal">
      <formula>#REF!</formula>
    </cfRule>
    <cfRule type="cellIs" dxfId="3" priority="22" operator="equal">
      <formula>#REF!</formula>
    </cfRule>
    <cfRule type="cellIs" dxfId="3" priority="23" operator="equal">
      <formula>#REF!</formula>
    </cfRule>
    <cfRule type="cellIs" dxfId="3" priority="24" operator="equal">
      <formula>#REF!</formula>
    </cfRule>
    <cfRule type="cellIs" dxfId="3" priority="25" operator="equal">
      <formula>#REF!</formula>
    </cfRule>
    <cfRule type="cellIs" dxfId="3" priority="26" operator="equal">
      <formula>#REF!</formula>
    </cfRule>
    <cfRule type="cellIs" dxfId="4" priority="27" operator="equal">
      <formula>#REF!</formula>
    </cfRule>
  </conditionalFormatting>
  <conditionalFormatting sqref="C63:C65">
    <cfRule type="cellIs" dxfId="0" priority="82" operator="equal">
      <formula>#REF!</formula>
    </cfRule>
    <cfRule type="cellIs" dxfId="1" priority="83" operator="equal">
      <formula>#REF!</formula>
    </cfRule>
    <cfRule type="cellIs" dxfId="2" priority="84" operator="equal">
      <formula>#REF!</formula>
    </cfRule>
    <cfRule type="cellIs" dxfId="3" priority="85" operator="equal">
      <formula>#REF!</formula>
    </cfRule>
    <cfRule type="cellIs" dxfId="3" priority="86" operator="equal">
      <formula>#REF!</formula>
    </cfRule>
    <cfRule type="cellIs" dxfId="3" priority="87" operator="equal">
      <formula>#REF!</formula>
    </cfRule>
    <cfRule type="cellIs" dxfId="3" priority="88" operator="equal">
      <formula>#REF!</formula>
    </cfRule>
    <cfRule type="cellIs" dxfId="3" priority="89" operator="equal">
      <formula>#REF!</formula>
    </cfRule>
    <cfRule type="cellIs" dxfId="4" priority="90" operator="equal">
      <formula>#REF!</formula>
    </cfRule>
  </conditionalFormatting>
  <conditionalFormatting sqref="C80:C81">
    <cfRule type="cellIs" dxfId="0" priority="91" operator="equal">
      <formula>#REF!</formula>
    </cfRule>
    <cfRule type="cellIs" dxfId="1" priority="92" operator="equal">
      <formula>#REF!</formula>
    </cfRule>
    <cfRule type="cellIs" dxfId="2" priority="93" operator="equal">
      <formula>#REF!</formula>
    </cfRule>
    <cfRule type="cellIs" dxfId="3" priority="94" operator="equal">
      <formula>#REF!</formula>
    </cfRule>
    <cfRule type="cellIs" dxfId="3" priority="95" operator="equal">
      <formula>#REF!</formula>
    </cfRule>
    <cfRule type="cellIs" dxfId="3" priority="96" operator="equal">
      <formula>#REF!</formula>
    </cfRule>
    <cfRule type="cellIs" dxfId="3" priority="97" operator="equal">
      <formula>#REF!</formula>
    </cfRule>
    <cfRule type="cellIs" dxfId="3" priority="98" operator="equal">
      <formula>#REF!</formula>
    </cfRule>
    <cfRule type="cellIs" dxfId="4" priority="99" operator="equal">
      <formula>#REF!</formula>
    </cfRule>
  </conditionalFormatting>
  <conditionalFormatting sqref="C90:C92">
    <cfRule type="cellIs" dxfId="0" priority="10" operator="equal">
      <formula>#REF!</formula>
    </cfRule>
    <cfRule type="cellIs" dxfId="1" priority="11" operator="equal">
      <formula>#REF!</formula>
    </cfRule>
    <cfRule type="cellIs" dxfId="2" priority="12" operator="equal">
      <formula>#REF!</formula>
    </cfRule>
    <cfRule type="cellIs" dxfId="3" priority="13" operator="equal">
      <formula>#REF!</formula>
    </cfRule>
    <cfRule type="cellIs" dxfId="3" priority="14" operator="equal">
      <formula>#REF!</formula>
    </cfRule>
    <cfRule type="cellIs" dxfId="3" priority="15" operator="equal">
      <formula>#REF!</formula>
    </cfRule>
    <cfRule type="cellIs" dxfId="3" priority="16" operator="equal">
      <formula>#REF!</formula>
    </cfRule>
    <cfRule type="cellIs" dxfId="3" priority="17" operator="equal">
      <formula>#REF!</formula>
    </cfRule>
    <cfRule type="cellIs" dxfId="4" priority="18" operator="equal">
      <formula>#REF!</formula>
    </cfRule>
  </conditionalFormatting>
  <conditionalFormatting sqref="C94:C95">
    <cfRule type="cellIs" dxfId="0" priority="173" operator="equal">
      <formula>#REF!</formula>
    </cfRule>
    <cfRule type="cellIs" dxfId="1" priority="176" operator="equal">
      <formula>#REF!</formula>
    </cfRule>
    <cfRule type="cellIs" dxfId="2" priority="179" operator="equal">
      <formula>#REF!</formula>
    </cfRule>
    <cfRule type="cellIs" dxfId="3" priority="182" operator="equal">
      <formula>#REF!</formula>
    </cfRule>
    <cfRule type="cellIs" dxfId="3" priority="185" operator="equal">
      <formula>#REF!</formula>
    </cfRule>
    <cfRule type="cellIs" dxfId="3" priority="188" operator="equal">
      <formula>#REF!</formula>
    </cfRule>
    <cfRule type="cellIs" dxfId="3" priority="191" operator="equal">
      <formula>#REF!</formula>
    </cfRule>
    <cfRule type="cellIs" dxfId="3" priority="194" operator="equal">
      <formula>#REF!</formula>
    </cfRule>
    <cfRule type="cellIs" dxfId="4" priority="197" operator="equal">
      <formula>#REF!</formula>
    </cfRule>
  </conditionalFormatting>
  <conditionalFormatting sqref="C96:C97">
    <cfRule type="cellIs" dxfId="0" priority="172" operator="equal">
      <formula>#REF!</formula>
    </cfRule>
    <cfRule type="cellIs" dxfId="1" priority="175" operator="equal">
      <formula>#REF!</formula>
    </cfRule>
    <cfRule type="cellIs" dxfId="2" priority="178" operator="equal">
      <formula>#REF!</formula>
    </cfRule>
    <cfRule type="cellIs" dxfId="3" priority="181" operator="equal">
      <formula>#REF!</formula>
    </cfRule>
    <cfRule type="cellIs" dxfId="3" priority="184" operator="equal">
      <formula>#REF!</formula>
    </cfRule>
    <cfRule type="cellIs" dxfId="3" priority="187" operator="equal">
      <formula>#REF!</formula>
    </cfRule>
    <cfRule type="cellIs" dxfId="3" priority="190" operator="equal">
      <formula>#REF!</formula>
    </cfRule>
    <cfRule type="cellIs" dxfId="3" priority="193" operator="equal">
      <formula>#REF!</formula>
    </cfRule>
    <cfRule type="cellIs" dxfId="4" priority="196" operator="equal">
      <formula>#REF!</formula>
    </cfRule>
  </conditionalFormatting>
  <conditionalFormatting sqref="C98:C100">
    <cfRule type="cellIs" dxfId="0" priority="28" operator="equal">
      <formula>#REF!</formula>
    </cfRule>
    <cfRule type="cellIs" dxfId="1" priority="29" operator="equal">
      <formula>#REF!</formula>
    </cfRule>
    <cfRule type="cellIs" dxfId="2" priority="30" operator="equal">
      <formula>#REF!</formula>
    </cfRule>
    <cfRule type="cellIs" dxfId="3" priority="31" operator="equal">
      <formula>#REF!</formula>
    </cfRule>
    <cfRule type="cellIs" dxfId="3" priority="32" operator="equal">
      <formula>#REF!</formula>
    </cfRule>
    <cfRule type="cellIs" dxfId="3" priority="33" operator="equal">
      <formula>#REF!</formula>
    </cfRule>
    <cfRule type="cellIs" dxfId="3" priority="34" operator="equal">
      <formula>#REF!</formula>
    </cfRule>
    <cfRule type="cellIs" dxfId="3" priority="35" operator="equal">
      <formula>#REF!</formula>
    </cfRule>
    <cfRule type="cellIs" dxfId="4" priority="36" operator="equal">
      <formula>#REF!</formula>
    </cfRule>
  </conditionalFormatting>
  <conditionalFormatting sqref="C1:C9 C104:C1048576 C11:C32 C39:C58 C101:C102 C66:C79 C60:C62">
    <cfRule type="cellIs" dxfId="0" priority="199" operator="equal">
      <formula>#REF!</formula>
    </cfRule>
    <cfRule type="cellIs" dxfId="1" priority="200" operator="equal">
      <formula>#REF!</formula>
    </cfRule>
    <cfRule type="cellIs" dxfId="2" priority="201" operator="equal">
      <formula>#REF!</formula>
    </cfRule>
    <cfRule type="cellIs" dxfId="3" priority="202" operator="equal">
      <formula>#REF!</formula>
    </cfRule>
    <cfRule type="cellIs" dxfId="3" priority="203" operator="equal">
      <formula>#REF!</formula>
    </cfRule>
    <cfRule type="cellIs" dxfId="3" priority="204" operator="equal">
      <formula>#REF!</formula>
    </cfRule>
    <cfRule type="cellIs" dxfId="3" priority="205" operator="equal">
      <formula>#REF!</formula>
    </cfRule>
    <cfRule type="cellIs" dxfId="3" priority="206" operator="equal">
      <formula>#REF!</formula>
    </cfRule>
    <cfRule type="cellIs" dxfId="4" priority="207" operator="equal">
      <formula>#REF!</formula>
    </cfRule>
  </conditionalFormatting>
  <conditionalFormatting sqref="C33 C35">
    <cfRule type="cellIs" dxfId="0" priority="154" operator="equal">
      <formula>#REF!</formula>
    </cfRule>
    <cfRule type="cellIs" dxfId="1" priority="155" operator="equal">
      <formula>#REF!</formula>
    </cfRule>
    <cfRule type="cellIs" dxfId="2" priority="156" operator="equal">
      <formula>#REF!</formula>
    </cfRule>
    <cfRule type="cellIs" dxfId="3" priority="157" operator="equal">
      <formula>#REF!</formula>
    </cfRule>
    <cfRule type="cellIs" dxfId="3" priority="158" operator="equal">
      <formula>#REF!</formula>
    </cfRule>
    <cfRule type="cellIs" dxfId="3" priority="159" operator="equal">
      <formula>#REF!</formula>
    </cfRule>
    <cfRule type="cellIs" dxfId="3" priority="160" operator="equal">
      <formula>#REF!</formula>
    </cfRule>
    <cfRule type="cellIs" dxfId="3" priority="161" operator="equal">
      <formula>#REF!</formula>
    </cfRule>
    <cfRule type="cellIs" dxfId="4" priority="162" operator="equal">
      <formula>#REF!</formula>
    </cfRule>
  </conditionalFormatting>
  <conditionalFormatting sqref="C82 C84">
    <cfRule type="cellIs" dxfId="0" priority="55" operator="equal">
      <formula>#REF!</formula>
    </cfRule>
    <cfRule type="cellIs" dxfId="1" priority="56" operator="equal">
      <formula>#REF!</formula>
    </cfRule>
    <cfRule type="cellIs" dxfId="2" priority="57" operator="equal">
      <formula>#REF!</formula>
    </cfRule>
    <cfRule type="cellIs" dxfId="3" priority="58" operator="equal">
      <formula>#REF!</formula>
    </cfRule>
    <cfRule type="cellIs" dxfId="3" priority="59" operator="equal">
      <formula>#REF!</formula>
    </cfRule>
    <cfRule type="cellIs" dxfId="3" priority="60" operator="equal">
      <formula>#REF!</formula>
    </cfRule>
    <cfRule type="cellIs" dxfId="3" priority="61" operator="equal">
      <formula>#REF!</formula>
    </cfRule>
    <cfRule type="cellIs" dxfId="3" priority="62" operator="equal">
      <formula>#REF!</formula>
    </cfRule>
    <cfRule type="cellIs" dxfId="4" priority="63" operator="equal">
      <formula>#REF!</formula>
    </cfRule>
  </conditionalFormatting>
  <conditionalFormatting sqref="C86 C88">
    <cfRule type="cellIs" dxfId="0" priority="46" operator="equal">
      <formula>#REF!</formula>
    </cfRule>
    <cfRule type="cellIs" dxfId="1" priority="47" operator="equal">
      <formula>#REF!</formula>
    </cfRule>
    <cfRule type="cellIs" dxfId="2" priority="48" operator="equal">
      <formula>#REF!</formula>
    </cfRule>
    <cfRule type="cellIs" dxfId="3" priority="49" operator="equal">
      <formula>#REF!</formula>
    </cfRule>
    <cfRule type="cellIs" dxfId="3" priority="50" operator="equal">
      <formula>#REF!</formula>
    </cfRule>
    <cfRule type="cellIs" dxfId="3" priority="51" operator="equal">
      <formula>#REF!</formula>
    </cfRule>
    <cfRule type="cellIs" dxfId="3" priority="52" operator="equal">
      <formula>#REF!</formula>
    </cfRule>
    <cfRule type="cellIs" dxfId="3" priority="53" operator="equal">
      <formula>#REF!</formula>
    </cfRule>
    <cfRule type="cellIs" dxfId="4" priority="54" operator="equal">
      <formula>#REF!</formula>
    </cfRule>
  </conditionalFormatting>
  <conditionalFormatting sqref="C89 C93">
    <cfRule type="cellIs" dxfId="0" priority="64" operator="equal">
      <formula>#REF!</formula>
    </cfRule>
    <cfRule type="cellIs" dxfId="1" priority="65" operator="equal">
      <formula>#REF!</formula>
    </cfRule>
    <cfRule type="cellIs" dxfId="2" priority="66" operator="equal">
      <formula>#REF!</formula>
    </cfRule>
    <cfRule type="cellIs" dxfId="3" priority="67" operator="equal">
      <formula>#REF!</formula>
    </cfRule>
    <cfRule type="cellIs" dxfId="3" priority="68" operator="equal">
      <formula>#REF!</formula>
    </cfRule>
    <cfRule type="cellIs" dxfId="3" priority="69" operator="equal">
      <formula>#REF!</formula>
    </cfRule>
    <cfRule type="cellIs" dxfId="3" priority="70" operator="equal">
      <formula>#REF!</formula>
    </cfRule>
    <cfRule type="cellIs" dxfId="3" priority="71" operator="equal">
      <formula>#REF!</formula>
    </cfRule>
    <cfRule type="cellIs" dxfId="4" priority="72" operator="equal">
      <formula>#REF!</formula>
    </cfRule>
  </conditionalFormatting>
  <dataValidations count="1">
    <dataValidation type="list" allowBlank="1" showInputMessage="1" showErrorMessage="1" sqref="C5 C6 C7 C10 C15 C18 C23 C24 C25 C26 C27 C30 C31 C32 C33 C34 C35 C36 C37 C38 C41 C44 C51 C56 C57 C58 C59 C65 C68 C69 C70 C73 C74 C77 C78 C79 C82 C83 C84 C85 C86 C87 C88 C89 C90 C91 C92 C93 C100 C103 C104 C105 C1:C4 C8:C9 C11:C14 C16:C17 C19:C22 C28:C29 C39:C40 C42:C43 C45:C50 C52:C55 C60:C62 C63:C64 C66:C67 C71:C72 C75:C76 C80:C81 C94:C97 C98:C99 C101:C102 C106:C1048576">
      <formula1>#REF!</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8"/>
  <sheetViews>
    <sheetView topLeftCell="A73" workbookViewId="0">
      <selection activeCell="A96" sqref="$A96:$XFD96"/>
    </sheetView>
  </sheetViews>
  <sheetFormatPr defaultColWidth="9" defaultRowHeight="16.5" customHeight="1" outlineLevelCol="4"/>
  <cols>
    <col min="1" max="1" width="11.5092592592593" style="6" customWidth="1"/>
    <col min="2" max="2" width="19.5092592592593" style="6" customWidth="1"/>
    <col min="3" max="4" width="11.5092592592593" style="6" customWidth="1"/>
    <col min="5" max="5" width="23.5092592592593" style="6" customWidth="1"/>
    <col min="6" max="16384" width="9" style="6"/>
  </cols>
  <sheetData>
    <row r="1" customHeight="1" spans="1:5">
      <c r="A1" s="7" t="s">
        <v>0</v>
      </c>
      <c r="B1" s="7" t="s">
        <v>1</v>
      </c>
      <c r="C1" s="7" t="s">
        <v>2</v>
      </c>
      <c r="D1" s="7" t="s">
        <v>3</v>
      </c>
      <c r="E1" s="7" t="s">
        <v>4</v>
      </c>
    </row>
    <row r="2" customHeight="1" spans="1:5">
      <c r="A2" s="8" t="s">
        <v>307</v>
      </c>
      <c r="B2" s="8" t="s">
        <v>36</v>
      </c>
      <c r="C2" s="8" t="s">
        <v>36</v>
      </c>
      <c r="D2" s="8">
        <v>10</v>
      </c>
      <c r="E2" s="8" t="s">
        <v>57</v>
      </c>
    </row>
    <row r="3" customHeight="1" spans="1:5">
      <c r="A3" s="8"/>
      <c r="B3" s="8" t="s">
        <v>18</v>
      </c>
      <c r="C3" s="8" t="s">
        <v>18</v>
      </c>
      <c r="D3" s="8">
        <v>7</v>
      </c>
      <c r="E3" s="8"/>
    </row>
    <row r="4" customHeight="1" spans="1:5">
      <c r="A4" s="8" t="s">
        <v>308</v>
      </c>
      <c r="B4" s="8" t="s">
        <v>18</v>
      </c>
      <c r="C4" s="8" t="s">
        <v>18</v>
      </c>
      <c r="D4" s="8">
        <v>7</v>
      </c>
      <c r="E4" s="8"/>
    </row>
    <row r="5" customHeight="1" spans="1:5">
      <c r="A5" s="8"/>
      <c r="B5" s="8" t="s">
        <v>272</v>
      </c>
      <c r="C5" s="8" t="s">
        <v>12</v>
      </c>
      <c r="D5" s="8">
        <f>78.5-69.73</f>
        <v>8.77</v>
      </c>
      <c r="E5" s="8" t="s">
        <v>309</v>
      </c>
    </row>
    <row r="6" customHeight="1" spans="1:5">
      <c r="A6" s="8"/>
      <c r="B6" s="8" t="s">
        <v>290</v>
      </c>
      <c r="C6" s="8" t="s">
        <v>14</v>
      </c>
      <c r="D6" s="8">
        <v>15.88</v>
      </c>
      <c r="E6" s="8"/>
    </row>
    <row r="7" customHeight="1" spans="1:5">
      <c r="A7" s="8" t="s">
        <v>310</v>
      </c>
      <c r="B7" s="8" t="s">
        <v>36</v>
      </c>
      <c r="C7" s="8" t="s">
        <v>36</v>
      </c>
      <c r="D7" s="8">
        <v>10</v>
      </c>
      <c r="E7" s="8" t="s">
        <v>57</v>
      </c>
    </row>
    <row r="8" customHeight="1" spans="1:5">
      <c r="A8" s="8"/>
      <c r="B8" s="8" t="s">
        <v>18</v>
      </c>
      <c r="C8" s="8" t="s">
        <v>18</v>
      </c>
      <c r="D8" s="8">
        <v>7</v>
      </c>
      <c r="E8" s="8"/>
    </row>
    <row r="9" customHeight="1" spans="1:5">
      <c r="A9" s="9" t="s">
        <v>311</v>
      </c>
      <c r="B9" s="8" t="s">
        <v>312</v>
      </c>
      <c r="C9" s="8" t="s">
        <v>14</v>
      </c>
      <c r="D9" s="8">
        <v>203</v>
      </c>
      <c r="E9" s="8"/>
    </row>
    <row r="10" customHeight="1" spans="1:5">
      <c r="A10" s="9"/>
      <c r="B10" s="8"/>
      <c r="C10" s="8"/>
      <c r="D10" s="8"/>
      <c r="E10" s="8"/>
    </row>
    <row r="11" customHeight="1" spans="1:5">
      <c r="A11" s="9" t="s">
        <v>313</v>
      </c>
      <c r="B11" s="8"/>
      <c r="C11" s="8"/>
      <c r="D11" s="8"/>
      <c r="E11" s="8"/>
    </row>
    <row r="12" customHeight="1" spans="1:5">
      <c r="A12" s="9"/>
      <c r="B12" s="8"/>
      <c r="C12" s="8"/>
      <c r="D12" s="8"/>
      <c r="E12" s="8"/>
    </row>
    <row r="13" customHeight="1" spans="1:5">
      <c r="A13" s="9" t="s">
        <v>314</v>
      </c>
      <c r="B13" s="8"/>
      <c r="C13" s="8"/>
      <c r="D13" s="8">
        <v>5.11</v>
      </c>
      <c r="E13" s="8" t="s">
        <v>136</v>
      </c>
    </row>
    <row r="14" customHeight="1" spans="1:5">
      <c r="A14" s="9"/>
      <c r="B14" s="8"/>
      <c r="C14" s="8"/>
      <c r="D14" s="8">
        <v>18.76</v>
      </c>
      <c r="E14" s="8" t="s">
        <v>136</v>
      </c>
    </row>
    <row r="15" customHeight="1" spans="1:5">
      <c r="A15" s="9"/>
      <c r="B15" s="8"/>
      <c r="C15" s="8"/>
      <c r="D15" s="8">
        <v>2.55</v>
      </c>
      <c r="E15" s="8" t="s">
        <v>136</v>
      </c>
    </row>
    <row r="16" customHeight="1" spans="1:5">
      <c r="A16" s="8" t="s">
        <v>315</v>
      </c>
      <c r="B16" s="8" t="s">
        <v>18</v>
      </c>
      <c r="C16" s="8" t="s">
        <v>18</v>
      </c>
      <c r="D16" s="8">
        <v>7</v>
      </c>
      <c r="E16" s="8"/>
    </row>
    <row r="17" customHeight="1" spans="1:5">
      <c r="A17" s="8"/>
      <c r="B17" s="8" t="s">
        <v>272</v>
      </c>
      <c r="C17" s="8" t="s">
        <v>12</v>
      </c>
      <c r="D17" s="8">
        <f>50-33.39</f>
        <v>16.61</v>
      </c>
      <c r="E17" s="8" t="s">
        <v>316</v>
      </c>
    </row>
    <row r="18" customHeight="1" spans="1:5">
      <c r="A18" s="8" t="s">
        <v>317</v>
      </c>
      <c r="B18" s="8" t="s">
        <v>98</v>
      </c>
      <c r="C18" s="8" t="s">
        <v>26</v>
      </c>
      <c r="D18" s="8">
        <v>5.67</v>
      </c>
      <c r="E18" s="8"/>
    </row>
    <row r="19" customHeight="1" spans="1:5">
      <c r="A19" s="8"/>
      <c r="B19" s="8" t="s">
        <v>98</v>
      </c>
      <c r="C19" s="8" t="s">
        <v>26</v>
      </c>
      <c r="D19" s="8">
        <v>5.72</v>
      </c>
      <c r="E19" s="8"/>
    </row>
    <row r="20" customHeight="1" spans="1:5">
      <c r="A20" s="8" t="s">
        <v>318</v>
      </c>
      <c r="B20" s="8"/>
      <c r="C20" s="8"/>
      <c r="D20" s="8"/>
      <c r="E20" s="8"/>
    </row>
    <row r="21" customHeight="1" spans="1:5">
      <c r="A21" s="8"/>
      <c r="B21" s="8"/>
      <c r="C21" s="8"/>
      <c r="D21" s="8"/>
      <c r="E21" s="8"/>
    </row>
    <row r="22" customHeight="1" spans="1:5">
      <c r="A22" s="8" t="s">
        <v>319</v>
      </c>
      <c r="B22" s="8" t="s">
        <v>234</v>
      </c>
      <c r="C22" s="8" t="s">
        <v>20</v>
      </c>
      <c r="D22" s="8">
        <v>134.3</v>
      </c>
      <c r="E22" s="8"/>
    </row>
    <row r="23" customHeight="1" spans="1:5">
      <c r="A23" s="8"/>
      <c r="B23" s="8" t="s">
        <v>320</v>
      </c>
      <c r="C23" s="8" t="s">
        <v>12</v>
      </c>
      <c r="D23" s="8">
        <v>7.78</v>
      </c>
      <c r="E23" s="8" t="s">
        <v>321</v>
      </c>
    </row>
    <row r="24" customHeight="1" spans="1:5">
      <c r="A24" s="8"/>
      <c r="B24" s="8" t="s">
        <v>18</v>
      </c>
      <c r="C24" s="8" t="s">
        <v>18</v>
      </c>
      <c r="D24" s="8">
        <v>101</v>
      </c>
      <c r="E24" s="8" t="s">
        <v>322</v>
      </c>
    </row>
    <row r="25" customHeight="1" spans="1:5">
      <c r="A25" s="8"/>
      <c r="B25" s="8" t="s">
        <v>272</v>
      </c>
      <c r="C25" s="8" t="s">
        <v>12</v>
      </c>
      <c r="D25" s="8">
        <v>27.17</v>
      </c>
      <c r="E25" s="8" t="s">
        <v>323</v>
      </c>
    </row>
    <row r="26" customHeight="1" spans="1:5">
      <c r="A26" s="8" t="s">
        <v>324</v>
      </c>
      <c r="B26" s="8" t="s">
        <v>325</v>
      </c>
      <c r="C26" s="8" t="s">
        <v>73</v>
      </c>
      <c r="D26" s="8">
        <v>54.82</v>
      </c>
      <c r="E26" s="8" t="s">
        <v>326</v>
      </c>
    </row>
    <row r="27" customHeight="1" spans="1:5">
      <c r="A27" s="8"/>
      <c r="B27" s="8" t="s">
        <v>18</v>
      </c>
      <c r="C27" s="8" t="s">
        <v>18</v>
      </c>
      <c r="D27" s="8">
        <v>116</v>
      </c>
      <c r="E27" s="8" t="s">
        <v>327</v>
      </c>
    </row>
    <row r="28" customHeight="1" spans="1:5">
      <c r="A28" s="8"/>
      <c r="B28" s="8" t="s">
        <v>328</v>
      </c>
      <c r="C28" s="8" t="s">
        <v>53</v>
      </c>
      <c r="D28" s="8">
        <v>47.48</v>
      </c>
      <c r="E28" s="8"/>
    </row>
    <row r="29" customHeight="1" spans="1:5">
      <c r="A29" s="8" t="s">
        <v>329</v>
      </c>
      <c r="B29" s="8"/>
      <c r="C29" s="8"/>
      <c r="D29" s="8"/>
      <c r="E29" s="8"/>
    </row>
    <row r="30" customHeight="1" spans="1:5">
      <c r="A30" s="8"/>
      <c r="B30" s="8"/>
      <c r="C30" s="8"/>
      <c r="D30" s="8"/>
      <c r="E30" s="8"/>
    </row>
    <row r="31" customHeight="1" spans="1:5">
      <c r="A31" s="8" t="s">
        <v>330</v>
      </c>
      <c r="B31" s="8" t="s">
        <v>98</v>
      </c>
      <c r="C31" s="8" t="s">
        <v>26</v>
      </c>
      <c r="D31" s="8">
        <v>5.79</v>
      </c>
      <c r="E31" s="8"/>
    </row>
    <row r="32" customHeight="1" spans="1:5">
      <c r="A32" s="8"/>
      <c r="B32" s="8" t="s">
        <v>331</v>
      </c>
      <c r="C32" s="8" t="s">
        <v>215</v>
      </c>
      <c r="D32" s="8">
        <v>6000</v>
      </c>
      <c r="E32" s="8"/>
    </row>
    <row r="33" customHeight="1" spans="1:5">
      <c r="A33" s="8"/>
      <c r="B33" s="8"/>
      <c r="C33" s="8"/>
      <c r="D33" s="8"/>
      <c r="E33" s="8"/>
    </row>
    <row r="34" customHeight="1" spans="1:5">
      <c r="A34" s="8"/>
      <c r="B34" s="8"/>
      <c r="C34" s="8"/>
      <c r="D34" s="8"/>
      <c r="E34" s="8"/>
    </row>
    <row r="35" customHeight="1" spans="1:5">
      <c r="A35" s="8" t="s">
        <v>332</v>
      </c>
      <c r="B35" s="8" t="s">
        <v>98</v>
      </c>
      <c r="C35" s="8" t="s">
        <v>26</v>
      </c>
      <c r="D35" s="8">
        <v>5.63</v>
      </c>
      <c r="E35" s="8"/>
    </row>
    <row r="36" customHeight="1" spans="1:5">
      <c r="A36" s="8"/>
      <c r="B36" s="8" t="s">
        <v>98</v>
      </c>
      <c r="C36" s="8" t="s">
        <v>26</v>
      </c>
      <c r="D36" s="8">
        <v>5.61</v>
      </c>
      <c r="E36" s="8"/>
    </row>
    <row r="37" customHeight="1" spans="1:5">
      <c r="A37" s="8"/>
      <c r="B37" s="8" t="s">
        <v>272</v>
      </c>
      <c r="C37" s="8" t="s">
        <v>12</v>
      </c>
      <c r="D37" s="8">
        <f>50-12.47</f>
        <v>37.53</v>
      </c>
      <c r="E37" s="8" t="s">
        <v>333</v>
      </c>
    </row>
    <row r="38" customHeight="1" spans="1:5">
      <c r="A38" s="8" t="s">
        <v>334</v>
      </c>
      <c r="B38" s="8" t="s">
        <v>18</v>
      </c>
      <c r="C38" s="8" t="s">
        <v>18</v>
      </c>
      <c r="D38" s="8">
        <v>7</v>
      </c>
      <c r="E38" s="8"/>
    </row>
    <row r="39" customHeight="1" spans="1:5">
      <c r="A39" s="8"/>
      <c r="B39" s="8"/>
      <c r="C39" s="8"/>
      <c r="D39" s="8"/>
      <c r="E39" s="8"/>
    </row>
    <row r="40" customHeight="1" spans="1:5">
      <c r="A40" s="8" t="s">
        <v>335</v>
      </c>
      <c r="B40" s="8" t="s">
        <v>18</v>
      </c>
      <c r="C40" s="8" t="s">
        <v>18</v>
      </c>
      <c r="D40" s="8">
        <v>7</v>
      </c>
      <c r="E40" s="8"/>
    </row>
    <row r="41" customHeight="1" spans="1:5">
      <c r="A41" s="8"/>
      <c r="B41" s="8"/>
      <c r="C41" s="8"/>
      <c r="D41" s="8"/>
      <c r="E41" s="8"/>
    </row>
    <row r="42" customHeight="1" spans="1:5">
      <c r="A42" s="8" t="s">
        <v>336</v>
      </c>
      <c r="B42" s="8" t="s">
        <v>18</v>
      </c>
      <c r="C42" s="8" t="s">
        <v>18</v>
      </c>
      <c r="D42" s="8">
        <v>7</v>
      </c>
      <c r="E42" s="8"/>
    </row>
    <row r="43" customHeight="1" spans="1:5">
      <c r="A43" s="8"/>
      <c r="B43" s="8" t="s">
        <v>28</v>
      </c>
      <c r="C43" s="8" t="s">
        <v>14</v>
      </c>
      <c r="D43" s="8">
        <v>20.88</v>
      </c>
      <c r="E43" s="8"/>
    </row>
    <row r="44" customHeight="1" spans="1:5">
      <c r="A44" s="8"/>
      <c r="B44" s="8" t="s">
        <v>337</v>
      </c>
      <c r="C44" s="8" t="s">
        <v>51</v>
      </c>
      <c r="D44" s="8">
        <v>41</v>
      </c>
      <c r="E44" s="8" t="s">
        <v>136</v>
      </c>
    </row>
    <row r="45" customHeight="1" spans="1:5">
      <c r="A45" s="8" t="s">
        <v>338</v>
      </c>
      <c r="B45" s="8" t="s">
        <v>339</v>
      </c>
      <c r="C45" s="8" t="s">
        <v>51</v>
      </c>
      <c r="D45" s="8">
        <v>22.75</v>
      </c>
      <c r="E45" s="8" t="s">
        <v>136</v>
      </c>
    </row>
    <row r="46" customHeight="1" spans="1:5">
      <c r="A46" s="8"/>
      <c r="B46" s="8" t="s">
        <v>340</v>
      </c>
      <c r="C46" s="8" t="s">
        <v>51</v>
      </c>
      <c r="D46" s="8">
        <f>9+14.9+2.57+18.91</f>
        <v>45.38</v>
      </c>
      <c r="E46" s="8" t="s">
        <v>136</v>
      </c>
    </row>
    <row r="47" customHeight="1" spans="1:5">
      <c r="A47" s="8" t="s">
        <v>341</v>
      </c>
      <c r="B47" s="8" t="s">
        <v>36</v>
      </c>
      <c r="C47" s="8" t="s">
        <v>36</v>
      </c>
      <c r="D47" s="8">
        <v>5</v>
      </c>
      <c r="E47" s="8"/>
    </row>
    <row r="48" customHeight="1" spans="1:5">
      <c r="A48" s="8"/>
      <c r="B48" s="8" t="s">
        <v>22</v>
      </c>
      <c r="C48" s="8" t="s">
        <v>20</v>
      </c>
      <c r="D48" s="8">
        <v>44.5</v>
      </c>
      <c r="E48" s="8"/>
    </row>
    <row r="49" customHeight="1" spans="1:5">
      <c r="A49" s="8"/>
      <c r="B49" s="8" t="s">
        <v>17</v>
      </c>
      <c r="C49" s="8" t="s">
        <v>12</v>
      </c>
      <c r="D49" s="8">
        <v>31.97</v>
      </c>
      <c r="E49" s="8"/>
    </row>
    <row r="50" customHeight="1" spans="1:5">
      <c r="A50" s="8"/>
      <c r="B50" s="8" t="s">
        <v>129</v>
      </c>
      <c r="C50" s="8" t="s">
        <v>12</v>
      </c>
      <c r="D50" s="8">
        <v>2.9</v>
      </c>
      <c r="E50" s="8"/>
    </row>
    <row r="51" customHeight="1" spans="1:5">
      <c r="A51" s="8"/>
      <c r="B51" s="8" t="s">
        <v>342</v>
      </c>
      <c r="C51" s="8" t="s">
        <v>53</v>
      </c>
      <c r="D51" s="8">
        <v>29</v>
      </c>
      <c r="E51" s="8"/>
    </row>
    <row r="52" customHeight="1" spans="1:5">
      <c r="A52" s="8"/>
      <c r="B52" s="8" t="s">
        <v>343</v>
      </c>
      <c r="C52" s="8" t="s">
        <v>44</v>
      </c>
      <c r="D52" s="8">
        <v>9.76</v>
      </c>
      <c r="E52" s="8" t="s">
        <v>136</v>
      </c>
    </row>
    <row r="53" customHeight="1" spans="1:5">
      <c r="A53" s="8" t="s">
        <v>344</v>
      </c>
      <c r="B53" s="8" t="s">
        <v>331</v>
      </c>
      <c r="C53" s="8" t="s">
        <v>215</v>
      </c>
      <c r="D53" s="8">
        <v>4000</v>
      </c>
      <c r="E53" s="8"/>
    </row>
    <row r="54" customHeight="1" spans="1:5">
      <c r="A54" s="8"/>
      <c r="B54" s="8" t="s">
        <v>98</v>
      </c>
      <c r="C54" s="8" t="s">
        <v>26</v>
      </c>
      <c r="D54" s="8">
        <v>5.58</v>
      </c>
      <c r="E54" s="8"/>
    </row>
    <row r="55" customHeight="1" spans="1:5">
      <c r="A55" s="8"/>
      <c r="B55" s="8" t="s">
        <v>98</v>
      </c>
      <c r="C55" s="8" t="s">
        <v>26</v>
      </c>
      <c r="D55" s="8">
        <v>3.59</v>
      </c>
      <c r="E55" s="8"/>
    </row>
    <row r="56" customHeight="1" spans="1:5">
      <c r="A56" s="8" t="s">
        <v>345</v>
      </c>
      <c r="B56" s="8" t="s">
        <v>18</v>
      </c>
      <c r="C56" s="8" t="s">
        <v>18</v>
      </c>
      <c r="D56" s="8">
        <v>7</v>
      </c>
      <c r="E56" s="8"/>
    </row>
    <row r="57" customHeight="1" spans="1:5">
      <c r="A57" s="8"/>
      <c r="B57" s="8"/>
      <c r="C57" s="8"/>
      <c r="D57" s="8"/>
      <c r="E57" s="8"/>
    </row>
    <row r="58" customHeight="1" spans="1:5">
      <c r="A58" s="8" t="s">
        <v>346</v>
      </c>
      <c r="B58" s="8" t="s">
        <v>18</v>
      </c>
      <c r="C58" s="8" t="s">
        <v>18</v>
      </c>
      <c r="D58" s="8">
        <v>7</v>
      </c>
      <c r="E58" s="8"/>
    </row>
    <row r="59" customHeight="1" spans="1:5">
      <c r="A59" s="8"/>
      <c r="B59" s="8" t="s">
        <v>347</v>
      </c>
      <c r="C59" s="8" t="s">
        <v>51</v>
      </c>
      <c r="D59" s="8">
        <v>59</v>
      </c>
      <c r="E59" s="8"/>
    </row>
    <row r="60" customHeight="1" spans="1:5">
      <c r="A60" s="8"/>
      <c r="B60" s="8" t="s">
        <v>348</v>
      </c>
      <c r="C60" s="8" t="s">
        <v>51</v>
      </c>
      <c r="D60" s="8">
        <v>69</v>
      </c>
      <c r="E60" s="8"/>
    </row>
    <row r="61" customHeight="1" spans="1:5">
      <c r="A61" s="8"/>
      <c r="B61" s="8" t="s">
        <v>349</v>
      </c>
      <c r="C61" s="8" t="s">
        <v>14</v>
      </c>
      <c r="D61" s="8">
        <v>190</v>
      </c>
      <c r="E61" s="8"/>
    </row>
    <row r="62" customHeight="1" spans="1:5">
      <c r="A62" s="8" t="s">
        <v>350</v>
      </c>
      <c r="B62" s="8" t="s">
        <v>98</v>
      </c>
      <c r="C62" s="8" t="s">
        <v>26</v>
      </c>
      <c r="D62" s="8">
        <v>5.69</v>
      </c>
      <c r="E62" s="8"/>
    </row>
    <row r="63" customHeight="1" spans="1:5">
      <c r="A63" s="8"/>
      <c r="B63" s="8" t="s">
        <v>351</v>
      </c>
      <c r="C63" s="8" t="s">
        <v>135</v>
      </c>
      <c r="D63" s="8">
        <v>369</v>
      </c>
      <c r="E63" s="8" t="s">
        <v>352</v>
      </c>
    </row>
    <row r="64" customHeight="1" spans="1:5">
      <c r="A64" s="8"/>
      <c r="B64" s="8" t="s">
        <v>351</v>
      </c>
      <c r="C64" s="8" t="s">
        <v>135</v>
      </c>
      <c r="D64" s="8">
        <v>333.45</v>
      </c>
      <c r="E64" s="8" t="s">
        <v>353</v>
      </c>
    </row>
    <row r="65" customHeight="1" spans="1:5">
      <c r="A65" s="8"/>
      <c r="B65" s="8" t="s">
        <v>354</v>
      </c>
      <c r="C65" s="8" t="s">
        <v>44</v>
      </c>
      <c r="D65" s="8">
        <v>28.57</v>
      </c>
      <c r="E65" s="8"/>
    </row>
    <row r="66" customHeight="1" spans="1:5">
      <c r="A66" s="8"/>
      <c r="B66" s="8" t="s">
        <v>295</v>
      </c>
      <c r="C66" s="8" t="s">
        <v>44</v>
      </c>
      <c r="D66" s="8">
        <v>7.14</v>
      </c>
      <c r="E66" s="8"/>
    </row>
    <row r="67" customHeight="1" spans="1:5">
      <c r="A67" s="8"/>
      <c r="B67" s="8" t="s">
        <v>180</v>
      </c>
      <c r="C67" s="8" t="s">
        <v>51</v>
      </c>
      <c r="D67" s="8">
        <v>4.39</v>
      </c>
      <c r="E67" s="8"/>
    </row>
    <row r="68" customHeight="1" spans="1:5">
      <c r="A68" s="8"/>
      <c r="B68" s="8" t="s">
        <v>98</v>
      </c>
      <c r="C68" s="8" t="s">
        <v>26</v>
      </c>
      <c r="D68" s="8">
        <v>5.76</v>
      </c>
      <c r="E68" s="8"/>
    </row>
    <row r="69" customHeight="1" spans="1:5">
      <c r="A69" s="8" t="s">
        <v>355</v>
      </c>
      <c r="B69" s="8" t="s">
        <v>36</v>
      </c>
      <c r="C69" s="8" t="s">
        <v>36</v>
      </c>
      <c r="D69" s="8">
        <v>105</v>
      </c>
      <c r="E69" s="8" t="s">
        <v>57</v>
      </c>
    </row>
    <row r="70" customHeight="1" spans="1:5">
      <c r="A70" s="8"/>
      <c r="B70" s="8" t="s">
        <v>18</v>
      </c>
      <c r="C70" s="8" t="s">
        <v>18</v>
      </c>
      <c r="D70" s="8">
        <v>7</v>
      </c>
      <c r="E70" s="8"/>
    </row>
    <row r="71" customHeight="1" spans="1:5">
      <c r="A71" s="8"/>
      <c r="B71" s="8" t="s">
        <v>74</v>
      </c>
      <c r="C71" s="8"/>
      <c r="D71" s="8">
        <v>16</v>
      </c>
      <c r="E71" s="8"/>
    </row>
    <row r="72" customHeight="1" spans="1:5">
      <c r="A72" s="8"/>
      <c r="B72" s="8" t="s">
        <v>272</v>
      </c>
      <c r="C72" s="8"/>
      <c r="D72" s="8">
        <f>50-16.15</f>
        <v>33.85</v>
      </c>
      <c r="E72" s="8" t="s">
        <v>356</v>
      </c>
    </row>
    <row r="73" customHeight="1" spans="1:5">
      <c r="A73" s="8" t="s">
        <v>357</v>
      </c>
      <c r="B73" s="8" t="s">
        <v>18</v>
      </c>
      <c r="C73" s="8"/>
      <c r="D73" s="8">
        <v>31</v>
      </c>
      <c r="E73" s="8"/>
    </row>
    <row r="74" customHeight="1" spans="1:5">
      <c r="A74" s="8"/>
      <c r="B74" s="8" t="s">
        <v>358</v>
      </c>
      <c r="C74" s="8"/>
      <c r="D74" s="8">
        <v>140</v>
      </c>
      <c r="E74" s="8"/>
    </row>
    <row r="75" customHeight="1" spans="1:5">
      <c r="A75" s="8"/>
      <c r="B75" s="8" t="s">
        <v>359</v>
      </c>
      <c r="C75" s="8"/>
      <c r="D75" s="8">
        <v>7.92</v>
      </c>
      <c r="E75" s="8"/>
    </row>
    <row r="76" customHeight="1" spans="1:5">
      <c r="A76" s="8"/>
      <c r="B76" s="8" t="s">
        <v>36</v>
      </c>
      <c r="C76" s="8"/>
      <c r="D76" s="8">
        <v>10</v>
      </c>
      <c r="E76" s="8" t="s">
        <v>360</v>
      </c>
    </row>
    <row r="77" customHeight="1" spans="1:5">
      <c r="A77" s="8"/>
      <c r="B77" s="8" t="s">
        <v>361</v>
      </c>
      <c r="C77" s="8"/>
      <c r="D77" s="8">
        <v>25.8</v>
      </c>
      <c r="E77" s="8" t="s">
        <v>362</v>
      </c>
    </row>
    <row r="78" customHeight="1" spans="1:5">
      <c r="A78" s="8"/>
      <c r="B78" s="8" t="s">
        <v>361</v>
      </c>
      <c r="C78" s="8"/>
      <c r="D78" s="8">
        <v>41</v>
      </c>
      <c r="E78" s="8"/>
    </row>
    <row r="79" customHeight="1" spans="1:5">
      <c r="A79" s="8" t="s">
        <v>363</v>
      </c>
      <c r="B79" s="8" t="s">
        <v>217</v>
      </c>
      <c r="C79" s="8" t="s">
        <v>122</v>
      </c>
      <c r="D79" s="8">
        <v>2533.33</v>
      </c>
      <c r="E79" s="8"/>
    </row>
    <row r="80" customHeight="1" spans="1:5">
      <c r="A80" s="8"/>
      <c r="B80" s="8" t="s">
        <v>18</v>
      </c>
      <c r="C80" s="8"/>
      <c r="D80" s="8">
        <v>41</v>
      </c>
      <c r="E80" s="8"/>
    </row>
    <row r="81" customHeight="1" spans="1:5">
      <c r="A81" s="8"/>
      <c r="B81" s="8" t="s">
        <v>124</v>
      </c>
      <c r="C81" s="8"/>
      <c r="D81" s="8">
        <v>0.5</v>
      </c>
      <c r="E81" s="8"/>
    </row>
    <row r="82" customHeight="1" spans="1:5">
      <c r="A82" s="8"/>
      <c r="B82" s="8" t="s">
        <v>124</v>
      </c>
      <c r="C82" s="8"/>
      <c r="D82" s="8">
        <v>0.5</v>
      </c>
      <c r="E82" s="8"/>
    </row>
    <row r="83" customHeight="1" spans="1:5">
      <c r="A83" s="8" t="s">
        <v>364</v>
      </c>
      <c r="B83" s="8" t="s">
        <v>18</v>
      </c>
      <c r="C83" s="8" t="s">
        <v>18</v>
      </c>
      <c r="D83" s="8">
        <v>7</v>
      </c>
      <c r="E83" s="8"/>
    </row>
    <row r="84" customHeight="1" spans="1:5">
      <c r="A84" s="8"/>
      <c r="B84" s="8" t="s">
        <v>365</v>
      </c>
      <c r="C84" s="8"/>
      <c r="D84" s="8">
        <v>6.02</v>
      </c>
      <c r="E84" s="8"/>
    </row>
    <row r="85" customHeight="1" spans="1:5">
      <c r="A85" s="8"/>
      <c r="B85" s="8" t="s">
        <v>366</v>
      </c>
      <c r="C85" s="8"/>
      <c r="D85" s="8">
        <v>30.2</v>
      </c>
      <c r="E85" s="8"/>
    </row>
    <row r="86" customHeight="1" spans="1:5">
      <c r="A86" s="8"/>
      <c r="B86" s="8" t="s">
        <v>272</v>
      </c>
      <c r="C86" s="8"/>
      <c r="D86" s="8">
        <f>50-23.13</f>
        <v>26.87</v>
      </c>
      <c r="E86" s="8" t="s">
        <v>367</v>
      </c>
    </row>
    <row r="87" customHeight="1" spans="1:5">
      <c r="A87" s="8"/>
      <c r="B87" s="8" t="s">
        <v>368</v>
      </c>
      <c r="C87" s="8"/>
      <c r="D87" s="8">
        <v>234.7</v>
      </c>
      <c r="E87" s="8"/>
    </row>
    <row r="88" customHeight="1" spans="1:5">
      <c r="A88" s="8"/>
      <c r="B88" s="8" t="s">
        <v>368</v>
      </c>
      <c r="C88" s="8"/>
      <c r="D88" s="8">
        <v>156.5</v>
      </c>
      <c r="E88" s="8"/>
    </row>
    <row r="89" customHeight="1" spans="1:5">
      <c r="A89" s="8" t="s">
        <v>369</v>
      </c>
      <c r="B89" s="8" t="s">
        <v>18</v>
      </c>
      <c r="C89" s="8" t="s">
        <v>18</v>
      </c>
      <c r="D89" s="8">
        <v>7</v>
      </c>
      <c r="E89" s="8"/>
    </row>
    <row r="90" customHeight="1" spans="1:5">
      <c r="A90" s="8"/>
      <c r="B90" s="8" t="s">
        <v>137</v>
      </c>
      <c r="C90" s="8"/>
      <c r="D90" s="8">
        <v>49.89</v>
      </c>
      <c r="E90" s="8"/>
    </row>
    <row r="91" customHeight="1" spans="1:5">
      <c r="A91" s="8"/>
      <c r="B91" s="8" t="s">
        <v>370</v>
      </c>
      <c r="C91" s="8"/>
      <c r="D91" s="8">
        <v>50.44</v>
      </c>
      <c r="E91" s="8"/>
    </row>
    <row r="92" customHeight="1" spans="1:5">
      <c r="A92" s="8" t="s">
        <v>371</v>
      </c>
      <c r="B92" s="8" t="s">
        <v>18</v>
      </c>
      <c r="C92" s="8" t="s">
        <v>18</v>
      </c>
      <c r="D92" s="8">
        <v>7</v>
      </c>
      <c r="E92" s="8"/>
    </row>
    <row r="93" customHeight="1" spans="1:5">
      <c r="A93" s="8"/>
      <c r="B93" s="8"/>
      <c r="C93" s="8"/>
      <c r="D93" s="8"/>
      <c r="E93" s="8"/>
    </row>
    <row r="94" customHeight="1" spans="1:5">
      <c r="A94" s="8" t="s">
        <v>372</v>
      </c>
      <c r="B94" s="8" t="s">
        <v>36</v>
      </c>
      <c r="C94" s="8" t="s">
        <v>36</v>
      </c>
      <c r="D94" s="8">
        <v>30</v>
      </c>
      <c r="E94" s="8"/>
    </row>
    <row r="95" customHeight="1" spans="1:5">
      <c r="A95" s="8"/>
      <c r="B95" s="8" t="s">
        <v>18</v>
      </c>
      <c r="C95" s="8" t="s">
        <v>18</v>
      </c>
      <c r="D95" s="8">
        <v>7</v>
      </c>
      <c r="E95" s="8"/>
    </row>
    <row r="108" customHeight="1" spans="1:2">
      <c r="A108"/>
      <c r="B108"/>
    </row>
  </sheetData>
  <mergeCells count="30">
    <mergeCell ref="A2:A3"/>
    <mergeCell ref="A4:A6"/>
    <mergeCell ref="A7:A8"/>
    <mergeCell ref="A9:A10"/>
    <mergeCell ref="A11:A12"/>
    <mergeCell ref="A13:A15"/>
    <mergeCell ref="A16:A17"/>
    <mergeCell ref="A18:A19"/>
    <mergeCell ref="A20:A21"/>
    <mergeCell ref="A22:A25"/>
    <mergeCell ref="A26:A28"/>
    <mergeCell ref="A29:A30"/>
    <mergeCell ref="A31:A34"/>
    <mergeCell ref="A35:A37"/>
    <mergeCell ref="A38:A39"/>
    <mergeCell ref="A40:A41"/>
    <mergeCell ref="A42:A44"/>
    <mergeCell ref="A45:A46"/>
    <mergeCell ref="A47:A52"/>
    <mergeCell ref="A53:A55"/>
    <mergeCell ref="A56:A57"/>
    <mergeCell ref="A58:A61"/>
    <mergeCell ref="A62:A68"/>
    <mergeCell ref="A69:A72"/>
    <mergeCell ref="A73:A78"/>
    <mergeCell ref="A79:A82"/>
    <mergeCell ref="A83:A88"/>
    <mergeCell ref="A89:A91"/>
    <mergeCell ref="A92:A93"/>
    <mergeCell ref="A94:A95"/>
  </mergeCells>
  <conditionalFormatting sqref="C4">
    <cfRule type="cellIs" dxfId="0" priority="109" operator="equal">
      <formula>#REF!</formula>
    </cfRule>
    <cfRule type="cellIs" dxfId="1" priority="110" operator="equal">
      <formula>#REF!</formula>
    </cfRule>
    <cfRule type="cellIs" dxfId="2" priority="111" operator="equal">
      <formula>#REF!</formula>
    </cfRule>
    <cfRule type="cellIs" dxfId="3" priority="112" operator="equal">
      <formula>#REF!</formula>
    </cfRule>
    <cfRule type="cellIs" dxfId="3" priority="113" operator="equal">
      <formula>#REF!</formula>
    </cfRule>
    <cfRule type="cellIs" dxfId="3" priority="114" operator="equal">
      <formula>#REF!</formula>
    </cfRule>
    <cfRule type="cellIs" dxfId="3" priority="115" operator="equal">
      <formula>#REF!</formula>
    </cfRule>
    <cfRule type="cellIs" dxfId="3" priority="116" operator="equal">
      <formula>#REF!</formula>
    </cfRule>
    <cfRule type="cellIs" dxfId="4" priority="117" operator="equal">
      <formula>#REF!</formula>
    </cfRule>
  </conditionalFormatting>
  <conditionalFormatting sqref="C5">
    <cfRule type="cellIs" dxfId="0" priority="91" operator="equal">
      <formula>#REF!</formula>
    </cfRule>
    <cfRule type="cellIs" dxfId="1" priority="92" operator="equal">
      <formula>#REF!</formula>
    </cfRule>
    <cfRule type="cellIs" dxfId="2" priority="93" operator="equal">
      <formula>#REF!</formula>
    </cfRule>
    <cfRule type="cellIs" dxfId="3" priority="94" operator="equal">
      <formula>#REF!</formula>
    </cfRule>
    <cfRule type="cellIs" dxfId="3" priority="95" operator="equal">
      <formula>#REF!</formula>
    </cfRule>
    <cfRule type="cellIs" dxfId="3" priority="96" operator="equal">
      <formula>#REF!</formula>
    </cfRule>
    <cfRule type="cellIs" dxfId="3" priority="97" operator="equal">
      <formula>#REF!</formula>
    </cfRule>
    <cfRule type="cellIs" dxfId="3" priority="98" operator="equal">
      <formula>#REF!</formula>
    </cfRule>
    <cfRule type="cellIs" dxfId="4" priority="99" operator="equal">
      <formula>#REF!</formula>
    </cfRule>
  </conditionalFormatting>
  <conditionalFormatting sqref="C6">
    <cfRule type="cellIs" dxfId="0" priority="127" operator="equal">
      <formula>#REF!</formula>
    </cfRule>
    <cfRule type="cellIs" dxfId="1" priority="128" operator="equal">
      <formula>#REF!</formula>
    </cfRule>
    <cfRule type="cellIs" dxfId="2" priority="129" operator="equal">
      <formula>#REF!</formula>
    </cfRule>
    <cfRule type="cellIs" dxfId="3" priority="130" operator="equal">
      <formula>#REF!</formula>
    </cfRule>
    <cfRule type="cellIs" dxfId="3" priority="131" operator="equal">
      <formula>#REF!</formula>
    </cfRule>
    <cfRule type="cellIs" dxfId="3" priority="132" operator="equal">
      <formula>#REF!</formula>
    </cfRule>
    <cfRule type="cellIs" dxfId="3" priority="133" operator="equal">
      <formula>#REF!</formula>
    </cfRule>
    <cfRule type="cellIs" dxfId="3" priority="134" operator="equal">
      <formula>#REF!</formula>
    </cfRule>
    <cfRule type="cellIs" dxfId="4" priority="135" operator="equal">
      <formula>#REF!</formula>
    </cfRule>
  </conditionalFormatting>
  <conditionalFormatting sqref="C16">
    <cfRule type="cellIs" dxfId="0" priority="100" operator="equal">
      <formula>#REF!</formula>
    </cfRule>
    <cfRule type="cellIs" dxfId="1" priority="101" operator="equal">
      <formula>#REF!</formula>
    </cfRule>
    <cfRule type="cellIs" dxfId="2" priority="102" operator="equal">
      <formula>#REF!</formula>
    </cfRule>
    <cfRule type="cellIs" dxfId="3" priority="103" operator="equal">
      <formula>#REF!</formula>
    </cfRule>
    <cfRule type="cellIs" dxfId="3" priority="104" operator="equal">
      <formula>#REF!</formula>
    </cfRule>
    <cfRule type="cellIs" dxfId="3" priority="105" operator="equal">
      <formula>#REF!</formula>
    </cfRule>
    <cfRule type="cellIs" dxfId="3" priority="106" operator="equal">
      <formula>#REF!</formula>
    </cfRule>
    <cfRule type="cellIs" dxfId="3" priority="107" operator="equal">
      <formula>#REF!</formula>
    </cfRule>
    <cfRule type="cellIs" dxfId="4" priority="108" operator="equal">
      <formula>#REF!</formula>
    </cfRule>
  </conditionalFormatting>
  <conditionalFormatting sqref="C38">
    <cfRule type="cellIs" dxfId="0" priority="55" operator="equal">
      <formula>#REF!</formula>
    </cfRule>
    <cfRule type="cellIs" dxfId="1" priority="56" operator="equal">
      <formula>#REF!</formula>
    </cfRule>
    <cfRule type="cellIs" dxfId="2" priority="57" operator="equal">
      <formula>#REF!</formula>
    </cfRule>
    <cfRule type="cellIs" dxfId="3" priority="58" operator="equal">
      <formula>#REF!</formula>
    </cfRule>
    <cfRule type="cellIs" dxfId="3" priority="59" operator="equal">
      <formula>#REF!</formula>
    </cfRule>
    <cfRule type="cellIs" dxfId="3" priority="60" operator="equal">
      <formula>#REF!</formula>
    </cfRule>
    <cfRule type="cellIs" dxfId="3" priority="61" operator="equal">
      <formula>#REF!</formula>
    </cfRule>
    <cfRule type="cellIs" dxfId="3" priority="62" operator="equal">
      <formula>#REF!</formula>
    </cfRule>
    <cfRule type="cellIs" dxfId="4" priority="63" operator="equal">
      <formula>#REF!</formula>
    </cfRule>
  </conditionalFormatting>
  <conditionalFormatting sqref="C40">
    <cfRule type="cellIs" dxfId="0" priority="64" operator="equal">
      <formula>#REF!</formula>
    </cfRule>
    <cfRule type="cellIs" dxfId="1" priority="65" operator="equal">
      <formula>#REF!</formula>
    </cfRule>
    <cfRule type="cellIs" dxfId="2" priority="66" operator="equal">
      <formula>#REF!</formula>
    </cfRule>
    <cfRule type="cellIs" dxfId="3" priority="67" operator="equal">
      <formula>#REF!</formula>
    </cfRule>
    <cfRule type="cellIs" dxfId="3" priority="68" operator="equal">
      <formula>#REF!</formula>
    </cfRule>
    <cfRule type="cellIs" dxfId="3" priority="69" operator="equal">
      <formula>#REF!</formula>
    </cfRule>
    <cfRule type="cellIs" dxfId="3" priority="70" operator="equal">
      <formula>#REF!</formula>
    </cfRule>
    <cfRule type="cellIs" dxfId="3" priority="71" operator="equal">
      <formula>#REF!</formula>
    </cfRule>
    <cfRule type="cellIs" dxfId="4" priority="72" operator="equal">
      <formula>#REF!</formula>
    </cfRule>
  </conditionalFormatting>
  <conditionalFormatting sqref="C56">
    <cfRule type="cellIs" dxfId="0" priority="82" operator="equal">
      <formula>#REF!</formula>
    </cfRule>
    <cfRule type="cellIs" dxfId="1" priority="83" operator="equal">
      <formula>#REF!</formula>
    </cfRule>
    <cfRule type="cellIs" dxfId="2" priority="84" operator="equal">
      <formula>#REF!</formula>
    </cfRule>
    <cfRule type="cellIs" dxfId="3" priority="85" operator="equal">
      <formula>#REF!</formula>
    </cfRule>
    <cfRule type="cellIs" dxfId="3" priority="86" operator="equal">
      <formula>#REF!</formula>
    </cfRule>
    <cfRule type="cellIs" dxfId="3" priority="87" operator="equal">
      <formula>#REF!</formula>
    </cfRule>
    <cfRule type="cellIs" dxfId="3" priority="88" operator="equal">
      <formula>#REF!</formula>
    </cfRule>
    <cfRule type="cellIs" dxfId="3" priority="89" operator="equal">
      <formula>#REF!</formula>
    </cfRule>
    <cfRule type="cellIs" dxfId="4" priority="90" operator="equal">
      <formula>#REF!</formula>
    </cfRule>
  </conditionalFormatting>
  <conditionalFormatting sqref="C84">
    <cfRule type="cellIs" dxfId="0" priority="1" operator="equal">
      <formula>#REF!</formula>
    </cfRule>
    <cfRule type="cellIs" dxfId="1" priority="2" operator="equal">
      <formula>#REF!</formula>
    </cfRule>
    <cfRule type="cellIs" dxfId="2" priority="3" operator="equal">
      <formula>#REF!</formula>
    </cfRule>
    <cfRule type="cellIs" dxfId="3" priority="4" operator="equal">
      <formula>#REF!</formula>
    </cfRule>
    <cfRule type="cellIs" dxfId="3" priority="5" operator="equal">
      <formula>#REF!</formula>
    </cfRule>
    <cfRule type="cellIs" dxfId="3" priority="6" operator="equal">
      <formula>#REF!</formula>
    </cfRule>
    <cfRule type="cellIs" dxfId="3" priority="7" operator="equal">
      <formula>#REF!</formula>
    </cfRule>
    <cfRule type="cellIs" dxfId="3" priority="8" operator="equal">
      <formula>#REF!</formula>
    </cfRule>
    <cfRule type="cellIs" dxfId="4" priority="9" operator="equal">
      <formula>#REF!</formula>
    </cfRule>
  </conditionalFormatting>
  <conditionalFormatting sqref="C91">
    <cfRule type="cellIs" dxfId="0" priority="146" operator="equal">
      <formula>#REF!</formula>
    </cfRule>
    <cfRule type="cellIs" dxfId="1" priority="149" operator="equal">
      <formula>#REF!</formula>
    </cfRule>
    <cfRule type="cellIs" dxfId="2" priority="152" operator="equal">
      <formula>#REF!</formula>
    </cfRule>
    <cfRule type="cellIs" dxfId="3" priority="155" operator="equal">
      <formula>#REF!</formula>
    </cfRule>
    <cfRule type="cellIs" dxfId="3" priority="158" operator="equal">
      <formula>#REF!</formula>
    </cfRule>
    <cfRule type="cellIs" dxfId="3" priority="161" operator="equal">
      <formula>#REF!</formula>
    </cfRule>
    <cfRule type="cellIs" dxfId="3" priority="164" operator="equal">
      <formula>#REF!</formula>
    </cfRule>
    <cfRule type="cellIs" dxfId="3" priority="167" operator="equal">
      <formula>#REF!</formula>
    </cfRule>
    <cfRule type="cellIs" dxfId="4" priority="170" operator="equal">
      <formula>#REF!</formula>
    </cfRule>
  </conditionalFormatting>
  <conditionalFormatting sqref="C92">
    <cfRule type="cellIs" dxfId="0" priority="19" operator="equal">
      <formula>#REF!</formula>
    </cfRule>
    <cfRule type="cellIs" dxfId="1" priority="20" operator="equal">
      <formula>#REF!</formula>
    </cfRule>
    <cfRule type="cellIs" dxfId="2" priority="21" operator="equal">
      <formula>#REF!</formula>
    </cfRule>
    <cfRule type="cellIs" dxfId="3" priority="22" operator="equal">
      <formula>#REF!</formula>
    </cfRule>
    <cfRule type="cellIs" dxfId="3" priority="23" operator="equal">
      <formula>#REF!</formula>
    </cfRule>
    <cfRule type="cellIs" dxfId="3" priority="24" operator="equal">
      <formula>#REF!</formula>
    </cfRule>
    <cfRule type="cellIs" dxfId="3" priority="25" operator="equal">
      <formula>#REF!</formula>
    </cfRule>
    <cfRule type="cellIs" dxfId="3" priority="26" operator="equal">
      <formula>#REF!</formula>
    </cfRule>
    <cfRule type="cellIs" dxfId="4" priority="27" operator="equal">
      <formula>#REF!</formula>
    </cfRule>
  </conditionalFormatting>
  <conditionalFormatting sqref="C93">
    <cfRule type="cellIs" dxfId="0" priority="145" operator="equal">
      <formula>#REF!</formula>
    </cfRule>
    <cfRule type="cellIs" dxfId="1" priority="148" operator="equal">
      <formula>#REF!</formula>
    </cfRule>
    <cfRule type="cellIs" dxfId="2" priority="151" operator="equal">
      <formula>#REF!</formula>
    </cfRule>
    <cfRule type="cellIs" dxfId="3" priority="154" operator="equal">
      <formula>#REF!</formula>
    </cfRule>
    <cfRule type="cellIs" dxfId="3" priority="157" operator="equal">
      <formula>#REF!</formula>
    </cfRule>
    <cfRule type="cellIs" dxfId="3" priority="160" operator="equal">
      <formula>#REF!</formula>
    </cfRule>
    <cfRule type="cellIs" dxfId="3" priority="163" operator="equal">
      <formula>#REF!</formula>
    </cfRule>
    <cfRule type="cellIs" dxfId="3" priority="166" operator="equal">
      <formula>#REF!</formula>
    </cfRule>
    <cfRule type="cellIs" dxfId="4" priority="169" operator="equal">
      <formula>#REF!</formula>
    </cfRule>
  </conditionalFormatting>
  <conditionalFormatting sqref="C95">
    <cfRule type="cellIs" dxfId="0" priority="10" operator="equal">
      <formula>#REF!</formula>
    </cfRule>
    <cfRule type="cellIs" dxfId="1" priority="11" operator="equal">
      <formula>#REF!</formula>
    </cfRule>
    <cfRule type="cellIs" dxfId="2" priority="12" operator="equal">
      <formula>#REF!</formula>
    </cfRule>
    <cfRule type="cellIs" dxfId="3" priority="13" operator="equal">
      <formula>#REF!</formula>
    </cfRule>
    <cfRule type="cellIs" dxfId="3" priority="14" operator="equal">
      <formula>#REF!</formula>
    </cfRule>
    <cfRule type="cellIs" dxfId="3" priority="15" operator="equal">
      <formula>#REF!</formula>
    </cfRule>
    <cfRule type="cellIs" dxfId="3" priority="16" operator="equal">
      <formula>#REF!</formula>
    </cfRule>
    <cfRule type="cellIs" dxfId="3" priority="17" operator="equal">
      <formula>#REF!</formula>
    </cfRule>
    <cfRule type="cellIs" dxfId="4" priority="18" operator="equal">
      <formula>#REF!</formula>
    </cfRule>
  </conditionalFormatting>
  <conditionalFormatting sqref="C2:C3">
    <cfRule type="cellIs" dxfId="0" priority="136" operator="equal">
      <formula>#REF!</formula>
    </cfRule>
    <cfRule type="cellIs" dxfId="1" priority="137" operator="equal">
      <formula>#REF!</formula>
    </cfRule>
    <cfRule type="cellIs" dxfId="2" priority="138" operator="equal">
      <formula>#REF!</formula>
    </cfRule>
    <cfRule type="cellIs" dxfId="3" priority="139" operator="equal">
      <formula>#REF!</formula>
    </cfRule>
    <cfRule type="cellIs" dxfId="3" priority="140" operator="equal">
      <formula>#REF!</formula>
    </cfRule>
    <cfRule type="cellIs" dxfId="3" priority="141" operator="equal">
      <formula>#REF!</formula>
    </cfRule>
    <cfRule type="cellIs" dxfId="3" priority="142" operator="equal">
      <formula>#REF!</formula>
    </cfRule>
    <cfRule type="cellIs" dxfId="3" priority="143" operator="equal">
      <formula>#REF!</formula>
    </cfRule>
    <cfRule type="cellIs" dxfId="4" priority="144" operator="equal">
      <formula>#REF!</formula>
    </cfRule>
  </conditionalFormatting>
  <conditionalFormatting sqref="C7:C8">
    <cfRule type="cellIs" dxfId="0" priority="118" operator="equal">
      <formula>#REF!</formula>
    </cfRule>
    <cfRule type="cellIs" dxfId="1" priority="119" operator="equal">
      <formula>#REF!</formula>
    </cfRule>
    <cfRule type="cellIs" dxfId="2" priority="120" operator="equal">
      <formula>#REF!</formula>
    </cfRule>
    <cfRule type="cellIs" dxfId="3" priority="121" operator="equal">
      <formula>#REF!</formula>
    </cfRule>
    <cfRule type="cellIs" dxfId="3" priority="122" operator="equal">
      <formula>#REF!</formula>
    </cfRule>
    <cfRule type="cellIs" dxfId="3" priority="123" operator="equal">
      <formula>#REF!</formula>
    </cfRule>
    <cfRule type="cellIs" dxfId="3" priority="124" operator="equal">
      <formula>#REF!</formula>
    </cfRule>
    <cfRule type="cellIs" dxfId="3" priority="125" operator="equal">
      <formula>#REF!</formula>
    </cfRule>
    <cfRule type="cellIs" dxfId="4" priority="126" operator="equal">
      <formula>#REF!</formula>
    </cfRule>
  </conditionalFormatting>
  <conditionalFormatting sqref="C42:C43">
    <cfRule type="cellIs" dxfId="0" priority="73" operator="equal">
      <formula>#REF!</formula>
    </cfRule>
    <cfRule type="cellIs" dxfId="1" priority="74" operator="equal">
      <formula>#REF!</formula>
    </cfRule>
    <cfRule type="cellIs" dxfId="2" priority="75" operator="equal">
      <formula>#REF!</formula>
    </cfRule>
    <cfRule type="cellIs" dxfId="3" priority="76" operator="equal">
      <formula>#REF!</formula>
    </cfRule>
    <cfRule type="cellIs" dxfId="3" priority="77" operator="equal">
      <formula>#REF!</formula>
    </cfRule>
    <cfRule type="cellIs" dxfId="3" priority="78" operator="equal">
      <formula>#REF!</formula>
    </cfRule>
    <cfRule type="cellIs" dxfId="3" priority="79" operator="equal">
      <formula>#REF!</formula>
    </cfRule>
    <cfRule type="cellIs" dxfId="3" priority="80" operator="equal">
      <formula>#REF!</formula>
    </cfRule>
    <cfRule type="cellIs" dxfId="4" priority="81" operator="equal">
      <formula>#REF!</formula>
    </cfRule>
  </conditionalFormatting>
  <conditionalFormatting sqref="C53:C54">
    <cfRule type="cellIs" dxfId="0" priority="46" operator="equal">
      <formula>#REF!</formula>
    </cfRule>
    <cfRule type="cellIs" dxfId="1" priority="47" operator="equal">
      <formula>#REF!</formula>
    </cfRule>
    <cfRule type="cellIs" dxfId="2" priority="48" operator="equal">
      <formula>#REF!</formula>
    </cfRule>
    <cfRule type="cellIs" dxfId="3" priority="49" operator="equal">
      <formula>#REF!</formula>
    </cfRule>
    <cfRule type="cellIs" dxfId="3" priority="50" operator="equal">
      <formula>#REF!</formula>
    </cfRule>
    <cfRule type="cellIs" dxfId="3" priority="51" operator="equal">
      <formula>#REF!</formula>
    </cfRule>
    <cfRule type="cellIs" dxfId="3" priority="52" operator="equal">
      <formula>#REF!</formula>
    </cfRule>
    <cfRule type="cellIs" dxfId="3" priority="53" operator="equal">
      <formula>#REF!</formula>
    </cfRule>
    <cfRule type="cellIs" dxfId="4" priority="54" operator="equal">
      <formula>#REF!</formula>
    </cfRule>
  </conditionalFormatting>
  <conditionalFormatting sqref="C89:C90">
    <cfRule type="cellIs" dxfId="0" priority="28" operator="equal">
      <formula>#REF!</formula>
    </cfRule>
    <cfRule type="cellIs" dxfId="1" priority="29" operator="equal">
      <formula>#REF!</formula>
    </cfRule>
    <cfRule type="cellIs" dxfId="2" priority="30" operator="equal">
      <formula>#REF!</formula>
    </cfRule>
    <cfRule type="cellIs" dxfId="3" priority="31" operator="equal">
      <formula>#REF!</formula>
    </cfRule>
    <cfRule type="cellIs" dxfId="3" priority="32" operator="equal">
      <formula>#REF!</formula>
    </cfRule>
    <cfRule type="cellIs" dxfId="3" priority="33" operator="equal">
      <formula>#REF!</formula>
    </cfRule>
    <cfRule type="cellIs" dxfId="3" priority="34" operator="equal">
      <formula>#REF!</formula>
    </cfRule>
    <cfRule type="cellIs" dxfId="3" priority="35" operator="equal">
      <formula>#REF!</formula>
    </cfRule>
    <cfRule type="cellIs" dxfId="4" priority="36" operator="equal">
      <formula>#REF!</formula>
    </cfRule>
  </conditionalFormatting>
  <conditionalFormatting sqref="C1 C9:C15 C17:C37 C94 C80 C39 C41 C44:C52 C55 C73:C78 C57:C70 C96:C1048576">
    <cfRule type="cellIs" dxfId="0" priority="172" operator="equal">
      <formula>#REF!</formula>
    </cfRule>
    <cfRule type="cellIs" dxfId="1" priority="173" operator="equal">
      <formula>#REF!</formula>
    </cfRule>
    <cfRule type="cellIs" dxfId="2" priority="174" operator="equal">
      <formula>#REF!</formula>
    </cfRule>
    <cfRule type="cellIs" dxfId="3" priority="175" operator="equal">
      <formula>#REF!</formula>
    </cfRule>
    <cfRule type="cellIs" dxfId="3" priority="176" operator="equal">
      <formula>#REF!</formula>
    </cfRule>
    <cfRule type="cellIs" dxfId="3" priority="177" operator="equal">
      <formula>#REF!</formula>
    </cfRule>
    <cfRule type="cellIs" dxfId="3" priority="178" operator="equal">
      <formula>#REF!</formula>
    </cfRule>
    <cfRule type="cellIs" dxfId="3" priority="179" operator="equal">
      <formula>#REF!</formula>
    </cfRule>
    <cfRule type="cellIs" dxfId="4" priority="180" operator="equal">
      <formula>#REF!</formula>
    </cfRule>
  </conditionalFormatting>
  <conditionalFormatting sqref="C79 C81">
    <cfRule type="cellIs" dxfId="0" priority="37" operator="equal">
      <formula>#REF!</formula>
    </cfRule>
    <cfRule type="cellIs" dxfId="1" priority="38" operator="equal">
      <formula>#REF!</formula>
    </cfRule>
    <cfRule type="cellIs" dxfId="2" priority="39" operator="equal">
      <formula>#REF!</formula>
    </cfRule>
    <cfRule type="cellIs" dxfId="3" priority="40" operator="equal">
      <formula>#REF!</formula>
    </cfRule>
    <cfRule type="cellIs" dxfId="3" priority="41" operator="equal">
      <formula>#REF!</formula>
    </cfRule>
    <cfRule type="cellIs" dxfId="3" priority="42" operator="equal">
      <formula>#REF!</formula>
    </cfRule>
    <cfRule type="cellIs" dxfId="3" priority="43" operator="equal">
      <formula>#REF!</formula>
    </cfRule>
    <cfRule type="cellIs" dxfId="3" priority="44" operator="equal">
      <formula>#REF!</formula>
    </cfRule>
    <cfRule type="cellIs" dxfId="4" priority="45" operator="equal">
      <formula>#REF!</formula>
    </cfRule>
  </conditionalFormatting>
  <conditionalFormatting sqref="C83 C85:C88">
    <cfRule type="cellIs" dxfId="0" priority="147" operator="equal">
      <formula>#REF!</formula>
    </cfRule>
    <cfRule type="cellIs" dxfId="1" priority="150" operator="equal">
      <formula>#REF!</formula>
    </cfRule>
    <cfRule type="cellIs" dxfId="2" priority="153" operator="equal">
      <formula>#REF!</formula>
    </cfRule>
    <cfRule type="cellIs" dxfId="3" priority="156" operator="equal">
      <formula>#REF!</formula>
    </cfRule>
    <cfRule type="cellIs" dxfId="3" priority="159" operator="equal">
      <formula>#REF!</formula>
    </cfRule>
    <cfRule type="cellIs" dxfId="3" priority="162" operator="equal">
      <formula>#REF!</formula>
    </cfRule>
    <cfRule type="cellIs" dxfId="3" priority="165" operator="equal">
      <formula>#REF!</formula>
    </cfRule>
    <cfRule type="cellIs" dxfId="3" priority="168" operator="equal">
      <formula>#REF!</formula>
    </cfRule>
    <cfRule type="cellIs" dxfId="4" priority="171" operator="equal">
      <formula>#REF!</formula>
    </cfRule>
  </conditionalFormatting>
  <dataValidations count="1">
    <dataValidation type="list" allowBlank="1" showInputMessage="1" showErrorMessage="1" sqref="C1 C4 C5 C6 C14 C15 C16 C17 C23 C24 C25 C32 C33 C34 C37 C38 C39 C40 C41 C42 C43 C44 C47 C48 C49 C50 C53 C54 C55 C56 C67 C70 C73 C74 C75 C76 C77 C78 C79 C80 C81 C83 C84 C85 C86 C87 C88 C89 C90 C91 C92 C93 C94 C95 C2:C3 C7:C8 C9:C13 C18:C19 C20:C22 C26:C27 C28:C31 C35:C36 C45:C46 C51:C52 C57:C58 C59:C60 C61:C62 C63:C64 C65:C66 C68:C69 C96:C1048576">
      <formula1>#REF!</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9"/>
  <sheetViews>
    <sheetView workbookViewId="0">
      <selection activeCell="D118" sqref="D118"/>
    </sheetView>
  </sheetViews>
  <sheetFormatPr defaultColWidth="9" defaultRowHeight="16.5" customHeight="1" outlineLevelCol="4"/>
  <cols>
    <col min="1" max="1" width="11.5092592592593" style="6" customWidth="1"/>
    <col min="2" max="2" width="19.5092592592593" style="6" customWidth="1"/>
    <col min="3" max="4" width="11.5092592592593" style="6" customWidth="1"/>
    <col min="5" max="5" width="23.5092592592593" style="6" customWidth="1"/>
    <col min="6" max="16384" width="9" style="6"/>
  </cols>
  <sheetData>
    <row r="1" customHeight="1" spans="1:5">
      <c r="A1" s="7" t="s">
        <v>0</v>
      </c>
      <c r="B1" s="7" t="s">
        <v>1</v>
      </c>
      <c r="C1" s="7" t="s">
        <v>2</v>
      </c>
      <c r="D1" s="7" t="s">
        <v>3</v>
      </c>
      <c r="E1" s="7" t="s">
        <v>4</v>
      </c>
    </row>
    <row r="2" customHeight="1" spans="1:5">
      <c r="A2" s="9" t="s">
        <v>373</v>
      </c>
      <c r="B2" s="8" t="s">
        <v>374</v>
      </c>
      <c r="C2" s="8"/>
      <c r="D2" s="8">
        <v>4.53</v>
      </c>
      <c r="E2" s="8" t="s">
        <v>375</v>
      </c>
    </row>
    <row r="3" customHeight="1" spans="1:5">
      <c r="A3" s="9"/>
      <c r="B3" s="8" t="s">
        <v>376</v>
      </c>
      <c r="C3" s="8"/>
      <c r="D3" s="8">
        <v>13.11</v>
      </c>
      <c r="E3" s="8" t="s">
        <v>377</v>
      </c>
    </row>
    <row r="4" customHeight="1" spans="1:5">
      <c r="A4" s="9"/>
      <c r="B4" s="8" t="s">
        <v>378</v>
      </c>
      <c r="C4" s="8"/>
      <c r="D4" s="8">
        <v>2.09</v>
      </c>
      <c r="E4" s="8"/>
    </row>
    <row r="5" customHeight="1" spans="1:5">
      <c r="A5" s="9"/>
      <c r="B5" s="8" t="s">
        <v>378</v>
      </c>
      <c r="C5" s="8"/>
      <c r="D5" s="8">
        <v>2.99</v>
      </c>
      <c r="E5" s="8"/>
    </row>
    <row r="6" customHeight="1" spans="1:5">
      <c r="A6" s="9"/>
      <c r="B6" s="8" t="s">
        <v>379</v>
      </c>
      <c r="C6" s="8"/>
      <c r="D6" s="8">
        <v>6</v>
      </c>
      <c r="E6" s="8"/>
    </row>
    <row r="7" customHeight="1" spans="1:5">
      <c r="A7" s="9" t="s">
        <v>380</v>
      </c>
      <c r="B7" s="8" t="s">
        <v>137</v>
      </c>
      <c r="C7" s="8"/>
      <c r="D7" s="8">
        <v>49.89</v>
      </c>
      <c r="E7" s="8"/>
    </row>
    <row r="8" customHeight="1" spans="1:5">
      <c r="A8" s="9"/>
      <c r="B8" s="8"/>
      <c r="C8" s="8"/>
      <c r="D8" s="8"/>
      <c r="E8" s="8"/>
    </row>
    <row r="9" customHeight="1" spans="1:5">
      <c r="A9" s="9" t="s">
        <v>381</v>
      </c>
      <c r="B9" s="8" t="s">
        <v>382</v>
      </c>
      <c r="C9" s="8"/>
      <c r="D9" s="8">
        <v>24.95</v>
      </c>
      <c r="E9" s="8"/>
    </row>
    <row r="10" customHeight="1" spans="1:5">
      <c r="A10" s="9"/>
      <c r="B10" s="8" t="s">
        <v>383</v>
      </c>
      <c r="C10" s="8"/>
      <c r="D10" s="8">
        <v>28.5</v>
      </c>
      <c r="E10" s="8"/>
    </row>
    <row r="11" customHeight="1" spans="1:5">
      <c r="A11" s="9"/>
      <c r="B11" s="8" t="s">
        <v>384</v>
      </c>
      <c r="C11" s="8" t="s">
        <v>8</v>
      </c>
      <c r="D11" s="8">
        <v>1000</v>
      </c>
      <c r="E11" s="8"/>
    </row>
    <row r="12" customHeight="1" spans="1:5">
      <c r="A12" s="9" t="s">
        <v>385</v>
      </c>
      <c r="B12" s="8" t="s">
        <v>386</v>
      </c>
      <c r="C12" s="8"/>
      <c r="D12" s="8">
        <v>5.5</v>
      </c>
      <c r="E12" s="8" t="s">
        <v>387</v>
      </c>
    </row>
    <row r="13" customHeight="1" spans="1:5">
      <c r="A13" s="9"/>
      <c r="B13" s="8" t="s">
        <v>167</v>
      </c>
      <c r="C13" s="8"/>
      <c r="D13" s="8">
        <v>1048.8</v>
      </c>
      <c r="E13" s="8"/>
    </row>
    <row r="14" customHeight="1" spans="1:5">
      <c r="A14" s="9"/>
      <c r="B14" s="8" t="s">
        <v>74</v>
      </c>
      <c r="C14" s="8"/>
      <c r="D14" s="8">
        <v>16</v>
      </c>
      <c r="E14" s="8"/>
    </row>
    <row r="15" customHeight="1" spans="1:5">
      <c r="A15" s="9" t="s">
        <v>388</v>
      </c>
      <c r="B15" s="8" t="s">
        <v>389</v>
      </c>
      <c r="C15" s="8"/>
      <c r="D15" s="8">
        <v>41.32</v>
      </c>
      <c r="E15" s="8"/>
    </row>
    <row r="16" customHeight="1" spans="1:5">
      <c r="A16" s="9"/>
      <c r="B16" s="8" t="s">
        <v>295</v>
      </c>
      <c r="C16" s="8"/>
      <c r="D16" s="8">
        <v>7.5</v>
      </c>
      <c r="E16" s="8"/>
    </row>
    <row r="17" customHeight="1" spans="1:5">
      <c r="A17" s="8" t="s">
        <v>390</v>
      </c>
      <c r="B17" s="8" t="s">
        <v>18</v>
      </c>
      <c r="C17" s="8"/>
      <c r="D17" s="8">
        <v>7</v>
      </c>
      <c r="E17" s="8"/>
    </row>
    <row r="18" customHeight="1" spans="1:5">
      <c r="A18" s="8"/>
      <c r="B18" s="8" t="s">
        <v>19</v>
      </c>
      <c r="C18" s="8"/>
      <c r="D18" s="8">
        <v>15</v>
      </c>
      <c r="E18" s="8"/>
    </row>
    <row r="19" customHeight="1" spans="1:5">
      <c r="A19" s="8"/>
      <c r="B19" s="8" t="s">
        <v>234</v>
      </c>
      <c r="C19" s="8"/>
      <c r="D19" s="8">
        <v>87.7</v>
      </c>
      <c r="E19" s="8"/>
    </row>
    <row r="20" customHeight="1" spans="1:5">
      <c r="A20" s="8"/>
      <c r="B20" s="8" t="s">
        <v>272</v>
      </c>
      <c r="C20" s="8"/>
      <c r="D20" s="8">
        <f>50-10.48</f>
        <v>39.52</v>
      </c>
      <c r="E20" s="8" t="s">
        <v>391</v>
      </c>
    </row>
    <row r="21" customHeight="1" spans="1:5">
      <c r="A21" s="8"/>
      <c r="B21" s="8" t="s">
        <v>36</v>
      </c>
      <c r="C21" s="8"/>
      <c r="D21" s="8">
        <v>8</v>
      </c>
      <c r="E21" s="8" t="s">
        <v>392</v>
      </c>
    </row>
    <row r="22" customHeight="1" spans="1:5">
      <c r="A22" s="8" t="s">
        <v>393</v>
      </c>
      <c r="B22" s="8" t="s">
        <v>18</v>
      </c>
      <c r="C22" s="8"/>
      <c r="D22" s="8">
        <v>7</v>
      </c>
      <c r="E22" s="8"/>
    </row>
    <row r="23" customHeight="1" spans="1:5">
      <c r="A23" s="8"/>
      <c r="B23" s="8" t="s">
        <v>272</v>
      </c>
      <c r="C23" s="8"/>
      <c r="D23" s="8">
        <f>50-31.66</f>
        <v>18.34</v>
      </c>
      <c r="E23" s="8" t="s">
        <v>394</v>
      </c>
    </row>
    <row r="24" customHeight="1" spans="1:5">
      <c r="A24" s="8" t="s">
        <v>395</v>
      </c>
      <c r="B24" s="8" t="s">
        <v>124</v>
      </c>
      <c r="C24" s="8"/>
      <c r="D24" s="8">
        <v>0.5</v>
      </c>
      <c r="E24" s="8"/>
    </row>
    <row r="25" customHeight="1" spans="1:5">
      <c r="A25" s="8"/>
      <c r="B25" s="8" t="s">
        <v>36</v>
      </c>
      <c r="C25" s="8"/>
      <c r="D25" s="8">
        <v>40</v>
      </c>
      <c r="E25" s="8"/>
    </row>
    <row r="26" customHeight="1" spans="1:5">
      <c r="A26" s="8"/>
      <c r="B26" s="8" t="s">
        <v>18</v>
      </c>
      <c r="C26" s="8"/>
      <c r="D26" s="8">
        <v>7</v>
      </c>
      <c r="E26" s="8"/>
    </row>
    <row r="27" customHeight="1" spans="1:5">
      <c r="A27" s="8"/>
      <c r="B27" s="8" t="s">
        <v>396</v>
      </c>
      <c r="C27" s="8"/>
      <c r="D27" s="8">
        <v>10.88</v>
      </c>
      <c r="E27" s="8"/>
    </row>
    <row r="28" customHeight="1" spans="1:5">
      <c r="A28" s="8"/>
      <c r="B28" s="8" t="s">
        <v>397</v>
      </c>
      <c r="C28" s="8"/>
      <c r="D28" s="8">
        <v>23</v>
      </c>
      <c r="E28" s="8"/>
    </row>
    <row r="29" customHeight="1" spans="1:5">
      <c r="A29" s="8" t="s">
        <v>398</v>
      </c>
      <c r="B29" s="8" t="s">
        <v>36</v>
      </c>
      <c r="C29" s="8"/>
      <c r="D29" s="8">
        <v>5</v>
      </c>
      <c r="E29" s="8"/>
    </row>
    <row r="30" customHeight="1" spans="1:5">
      <c r="A30" s="8"/>
      <c r="B30" s="8" t="s">
        <v>18</v>
      </c>
      <c r="C30" s="8"/>
      <c r="D30" s="8">
        <v>7</v>
      </c>
      <c r="E30" s="8"/>
    </row>
    <row r="31" customHeight="1" spans="1:5">
      <c r="A31" s="8" t="s">
        <v>399</v>
      </c>
      <c r="B31" s="8" t="s">
        <v>36</v>
      </c>
      <c r="C31" s="8"/>
      <c r="D31" s="8">
        <v>40</v>
      </c>
      <c r="E31" s="8" t="s">
        <v>400</v>
      </c>
    </row>
    <row r="32" customHeight="1" spans="1:5">
      <c r="A32" s="8"/>
      <c r="B32" s="8" t="s">
        <v>401</v>
      </c>
      <c r="C32" s="8"/>
      <c r="D32" s="8">
        <v>165</v>
      </c>
      <c r="E32" s="8" t="s">
        <v>402</v>
      </c>
    </row>
    <row r="33" customHeight="1" spans="1:5">
      <c r="A33" s="8" t="s">
        <v>403</v>
      </c>
      <c r="B33" s="8" t="s">
        <v>18</v>
      </c>
      <c r="C33" s="8"/>
      <c r="D33" s="8">
        <v>7</v>
      </c>
      <c r="E33" s="8"/>
    </row>
    <row r="34" customHeight="1" spans="1:5">
      <c r="A34" s="8"/>
      <c r="B34" s="8" t="s">
        <v>404</v>
      </c>
      <c r="C34" s="8"/>
      <c r="D34" s="8">
        <v>13.71</v>
      </c>
      <c r="E34" s="8"/>
    </row>
    <row r="35" customHeight="1" spans="1:5">
      <c r="A35" s="8"/>
      <c r="B35" s="8" t="s">
        <v>405</v>
      </c>
      <c r="C35" s="8"/>
      <c r="D35" s="8">
        <v>5.38</v>
      </c>
      <c r="E35" s="8"/>
    </row>
    <row r="36" customHeight="1" spans="1:5">
      <c r="A36" s="8"/>
      <c r="B36" s="8" t="s">
        <v>406</v>
      </c>
      <c r="C36" s="8"/>
      <c r="D36" s="8">
        <v>9.9</v>
      </c>
      <c r="E36" s="8" t="s">
        <v>407</v>
      </c>
    </row>
    <row r="37" customHeight="1" spans="1:5">
      <c r="A37" s="8"/>
      <c r="B37" s="8" t="s">
        <v>408</v>
      </c>
      <c r="C37" s="8"/>
      <c r="D37" s="8">
        <v>2.18</v>
      </c>
      <c r="E37" s="8"/>
    </row>
    <row r="38" customHeight="1" spans="1:5">
      <c r="A38" s="8"/>
      <c r="B38" s="8" t="s">
        <v>409</v>
      </c>
      <c r="C38" s="8"/>
      <c r="D38" s="8">
        <v>211.22</v>
      </c>
      <c r="E38" s="8"/>
    </row>
    <row r="39" customHeight="1" spans="1:5">
      <c r="A39" s="8"/>
      <c r="B39" s="8" t="s">
        <v>214</v>
      </c>
      <c r="C39" s="8" t="s">
        <v>215</v>
      </c>
      <c r="D39" s="8">
        <v>7000</v>
      </c>
      <c r="E39" s="8"/>
    </row>
    <row r="40" customHeight="1" spans="1:5">
      <c r="A40" s="8" t="s">
        <v>410</v>
      </c>
      <c r="B40" s="8" t="s">
        <v>18</v>
      </c>
      <c r="C40" s="8"/>
      <c r="D40" s="8">
        <v>7</v>
      </c>
      <c r="E40" s="8"/>
    </row>
    <row r="41" customHeight="1" spans="1:5">
      <c r="A41" s="8"/>
      <c r="B41" s="8" t="s">
        <v>272</v>
      </c>
      <c r="C41" s="8"/>
      <c r="D41" s="8">
        <f>50-8.78</f>
        <v>41.22</v>
      </c>
      <c r="E41" s="8" t="s">
        <v>411</v>
      </c>
    </row>
    <row r="42" customHeight="1" spans="1:5">
      <c r="A42" s="8" t="s">
        <v>412</v>
      </c>
      <c r="B42" s="8" t="s">
        <v>36</v>
      </c>
      <c r="C42" s="8"/>
      <c r="D42" s="8">
        <v>20</v>
      </c>
      <c r="E42" s="8"/>
    </row>
    <row r="43" customHeight="1" spans="1:5">
      <c r="A43" s="8"/>
      <c r="B43" s="8" t="s">
        <v>18</v>
      </c>
      <c r="C43" s="8"/>
      <c r="D43" s="8">
        <v>7</v>
      </c>
      <c r="E43" s="8"/>
    </row>
    <row r="44" customHeight="1" spans="1:5">
      <c r="A44" s="8" t="s">
        <v>413</v>
      </c>
      <c r="B44" s="8" t="s">
        <v>36</v>
      </c>
      <c r="C44" s="8"/>
      <c r="D44" s="8">
        <v>5</v>
      </c>
      <c r="E44" s="8"/>
    </row>
    <row r="45" customHeight="1" spans="1:5">
      <c r="A45" s="8"/>
      <c r="B45" s="8" t="s">
        <v>18</v>
      </c>
      <c r="C45" s="8"/>
      <c r="D45" s="8">
        <v>7</v>
      </c>
      <c r="E45" s="8"/>
    </row>
    <row r="46" customHeight="1" spans="1:5">
      <c r="A46" s="8"/>
      <c r="B46" s="8" t="s">
        <v>414</v>
      </c>
      <c r="C46" s="8"/>
      <c r="D46" s="8">
        <v>1834</v>
      </c>
      <c r="E46" s="8" t="s">
        <v>415</v>
      </c>
    </row>
    <row r="47" customHeight="1" spans="1:5">
      <c r="A47" s="8" t="s">
        <v>416</v>
      </c>
      <c r="B47" s="8" t="s">
        <v>36</v>
      </c>
      <c r="C47" s="8"/>
      <c r="D47" s="8">
        <v>5</v>
      </c>
      <c r="E47" s="8"/>
    </row>
    <row r="48" customHeight="1" spans="1:5">
      <c r="A48" s="8"/>
      <c r="B48" s="8" t="s">
        <v>18</v>
      </c>
      <c r="C48" s="8"/>
      <c r="D48" s="8">
        <v>7</v>
      </c>
      <c r="E48" s="8"/>
    </row>
    <row r="49" customHeight="1" spans="1:5">
      <c r="A49" s="8"/>
      <c r="B49" s="8" t="s">
        <v>194</v>
      </c>
      <c r="C49" s="8"/>
      <c r="D49" s="8">
        <v>21</v>
      </c>
      <c r="E49" s="8"/>
    </row>
    <row r="50" customHeight="1" spans="1:5">
      <c r="A50" s="8" t="s">
        <v>417</v>
      </c>
      <c r="B50" s="8" t="s">
        <v>418</v>
      </c>
      <c r="C50" s="8"/>
      <c r="D50" s="8">
        <v>32</v>
      </c>
      <c r="E50" s="8" t="s">
        <v>419</v>
      </c>
    </row>
    <row r="51" customHeight="1" spans="1:5">
      <c r="A51" s="8"/>
      <c r="B51" s="8"/>
      <c r="C51" s="8"/>
      <c r="D51" s="8"/>
      <c r="E51" s="8"/>
    </row>
    <row r="52" customHeight="1" spans="1:5">
      <c r="A52" s="8" t="s">
        <v>420</v>
      </c>
      <c r="B52" s="8"/>
      <c r="C52" s="8"/>
      <c r="D52" s="8"/>
      <c r="E52" s="8"/>
    </row>
    <row r="53" customHeight="1" spans="1:5">
      <c r="A53" s="8"/>
      <c r="B53" s="8"/>
      <c r="C53" s="8"/>
      <c r="D53" s="8"/>
      <c r="E53" s="8"/>
    </row>
    <row r="54" customHeight="1" spans="1:5">
      <c r="A54" s="8" t="s">
        <v>421</v>
      </c>
      <c r="B54" s="8" t="s">
        <v>36</v>
      </c>
      <c r="C54" s="8"/>
      <c r="D54" s="8">
        <v>15</v>
      </c>
      <c r="E54" s="8"/>
    </row>
    <row r="55" customHeight="1" spans="1:5">
      <c r="A55" s="8"/>
      <c r="B55" s="8" t="s">
        <v>18</v>
      </c>
      <c r="C55" s="8"/>
      <c r="D55" s="8">
        <v>7</v>
      </c>
      <c r="E55" s="8"/>
    </row>
    <row r="56" customHeight="1" spans="1:5">
      <c r="A56" s="8" t="s">
        <v>422</v>
      </c>
      <c r="B56" s="8" t="s">
        <v>18</v>
      </c>
      <c r="C56" s="8"/>
      <c r="D56" s="8">
        <v>7</v>
      </c>
      <c r="E56" s="8"/>
    </row>
    <row r="57" customHeight="1" spans="1:5">
      <c r="A57" s="8"/>
      <c r="B57" s="8" t="s">
        <v>423</v>
      </c>
      <c r="C57" s="8"/>
      <c r="D57" s="8">
        <f>209-209</f>
        <v>0</v>
      </c>
      <c r="E57" s="8" t="s">
        <v>424</v>
      </c>
    </row>
    <row r="58" customHeight="1" spans="1:5">
      <c r="A58" s="8" t="s">
        <v>425</v>
      </c>
      <c r="B58" s="8" t="s">
        <v>36</v>
      </c>
      <c r="C58" s="8"/>
      <c r="D58" s="8">
        <v>5</v>
      </c>
      <c r="E58" s="8"/>
    </row>
    <row r="59" customHeight="1" spans="1:5">
      <c r="A59" s="8"/>
      <c r="B59" s="8" t="s">
        <v>18</v>
      </c>
      <c r="C59" s="8"/>
      <c r="D59" s="8">
        <v>7</v>
      </c>
      <c r="E59" s="8"/>
    </row>
    <row r="60" customHeight="1" spans="1:5">
      <c r="A60" s="8" t="s">
        <v>426</v>
      </c>
      <c r="B60" s="8" t="s">
        <v>79</v>
      </c>
      <c r="C60" s="8"/>
      <c r="D60" s="8">
        <v>21.42</v>
      </c>
      <c r="E60" s="8" t="s">
        <v>427</v>
      </c>
    </row>
    <row r="61" customHeight="1" spans="1:5">
      <c r="A61" s="8"/>
      <c r="B61" s="8" t="s">
        <v>25</v>
      </c>
      <c r="C61" s="8"/>
      <c r="D61" s="8">
        <v>50</v>
      </c>
      <c r="E61" s="8"/>
    </row>
    <row r="62" customHeight="1" spans="1:5">
      <c r="A62" s="8"/>
      <c r="B62" s="8" t="s">
        <v>428</v>
      </c>
      <c r="C62" s="8"/>
      <c r="D62" s="8">
        <v>45</v>
      </c>
      <c r="E62" s="8" t="s">
        <v>429</v>
      </c>
    </row>
    <row r="63" customHeight="1" spans="1:5">
      <c r="A63" s="8"/>
      <c r="B63" s="8" t="s">
        <v>430</v>
      </c>
      <c r="C63" s="8"/>
      <c r="D63" s="8">
        <v>286.17</v>
      </c>
      <c r="E63" s="8"/>
    </row>
    <row r="64" customHeight="1" spans="1:5">
      <c r="A64" s="8" t="s">
        <v>431</v>
      </c>
      <c r="B64" s="8"/>
      <c r="C64" s="8"/>
      <c r="D64" s="8"/>
      <c r="E64" s="8"/>
    </row>
    <row r="65" customHeight="1" spans="1:5">
      <c r="A65" s="8"/>
      <c r="B65" s="8"/>
      <c r="C65" s="8"/>
      <c r="D65" s="8"/>
      <c r="E65" s="8"/>
    </row>
    <row r="66" customHeight="1" spans="1:5">
      <c r="A66" s="8" t="s">
        <v>432</v>
      </c>
      <c r="B66" s="8" t="s">
        <v>433</v>
      </c>
      <c r="C66" s="8"/>
      <c r="D66" s="8">
        <v>7</v>
      </c>
      <c r="E66" s="8" t="s">
        <v>434</v>
      </c>
    </row>
    <row r="67" customHeight="1" spans="1:5">
      <c r="A67" s="8"/>
      <c r="B67" s="8" t="s">
        <v>435</v>
      </c>
      <c r="C67" s="8"/>
      <c r="D67" s="8">
        <f>130*2</f>
        <v>260</v>
      </c>
      <c r="E67" s="8" t="s">
        <v>436</v>
      </c>
    </row>
    <row r="68" customHeight="1" spans="1:5">
      <c r="A68" s="8"/>
      <c r="B68" s="8" t="s">
        <v>435</v>
      </c>
      <c r="C68" s="8"/>
      <c r="D68" s="8">
        <v>90</v>
      </c>
      <c r="E68" s="8" t="s">
        <v>437</v>
      </c>
    </row>
    <row r="69" customHeight="1" spans="1:5">
      <c r="A69" s="8"/>
      <c r="B69" s="8" t="s">
        <v>438</v>
      </c>
      <c r="C69" s="8"/>
      <c r="D69" s="8">
        <v>10</v>
      </c>
      <c r="E69" s="8"/>
    </row>
    <row r="70" customHeight="1" spans="1:5">
      <c r="A70" s="8"/>
      <c r="B70" s="8" t="s">
        <v>439</v>
      </c>
      <c r="C70" s="8"/>
      <c r="D70" s="8">
        <v>232</v>
      </c>
      <c r="E70" s="8"/>
    </row>
    <row r="71" customHeight="1" spans="1:5">
      <c r="A71" s="8"/>
      <c r="B71" s="8" t="s">
        <v>440</v>
      </c>
      <c r="C71" s="8"/>
      <c r="D71" s="8">
        <f>300-300</f>
        <v>0</v>
      </c>
      <c r="E71" s="8" t="s">
        <v>441</v>
      </c>
    </row>
    <row r="72" customHeight="1" spans="1:5">
      <c r="A72" s="8"/>
      <c r="B72" s="8" t="s">
        <v>442</v>
      </c>
      <c r="C72" s="8"/>
      <c r="D72" s="8">
        <v>568</v>
      </c>
      <c r="E72" s="8"/>
    </row>
    <row r="73" customHeight="1" spans="1:5">
      <c r="A73" s="8"/>
      <c r="B73" s="8" t="s">
        <v>443</v>
      </c>
      <c r="C73" s="8"/>
      <c r="D73" s="8">
        <v>6</v>
      </c>
      <c r="E73" s="8"/>
    </row>
    <row r="74" customHeight="1" spans="1:5">
      <c r="A74" s="8"/>
      <c r="B74" s="8" t="s">
        <v>444</v>
      </c>
      <c r="C74" s="8"/>
      <c r="D74" s="8">
        <v>20</v>
      </c>
      <c r="E74" s="8"/>
    </row>
    <row r="75" customHeight="1" spans="1:5">
      <c r="A75" s="8"/>
      <c r="B75" s="8" t="s">
        <v>445</v>
      </c>
      <c r="C75" s="8"/>
      <c r="D75" s="8">
        <v>43</v>
      </c>
      <c r="E75" s="8"/>
    </row>
    <row r="76" customHeight="1" spans="1:5">
      <c r="A76" s="8" t="s">
        <v>446</v>
      </c>
      <c r="B76" s="8" t="s">
        <v>447</v>
      </c>
      <c r="C76" s="8"/>
      <c r="D76" s="8">
        <v>39</v>
      </c>
      <c r="E76" s="8" t="s">
        <v>448</v>
      </c>
    </row>
    <row r="77" customHeight="1" spans="1:5">
      <c r="A77" s="8"/>
      <c r="B77" s="8" t="s">
        <v>449</v>
      </c>
      <c r="C77" s="8"/>
      <c r="D77" s="8">
        <v>4.4</v>
      </c>
      <c r="E77" s="8" t="s">
        <v>450</v>
      </c>
    </row>
    <row r="78" customHeight="1" spans="1:5">
      <c r="A78" s="8"/>
      <c r="B78" s="8" t="s">
        <v>451</v>
      </c>
      <c r="C78" s="8"/>
      <c r="D78" s="8">
        <f>30*2</f>
        <v>60</v>
      </c>
      <c r="E78" s="8" t="s">
        <v>452</v>
      </c>
    </row>
    <row r="79" customHeight="1" spans="1:5">
      <c r="A79" s="8"/>
      <c r="B79" s="8" t="s">
        <v>453</v>
      </c>
      <c r="C79" s="8"/>
      <c r="D79" s="8">
        <f>10*2</f>
        <v>20</v>
      </c>
      <c r="E79" s="8" t="s">
        <v>454</v>
      </c>
    </row>
    <row r="80" customHeight="1" spans="1:5">
      <c r="A80" s="8"/>
      <c r="B80" s="8" t="s">
        <v>79</v>
      </c>
      <c r="C80" s="8"/>
      <c r="D80" s="8">
        <v>50.37</v>
      </c>
      <c r="E80" s="8" t="s">
        <v>455</v>
      </c>
    </row>
    <row r="81" customHeight="1" spans="1:5">
      <c r="A81" s="8" t="s">
        <v>456</v>
      </c>
      <c r="B81" s="8" t="s">
        <v>18</v>
      </c>
      <c r="C81" s="8" t="s">
        <v>18</v>
      </c>
      <c r="D81" s="8">
        <v>7</v>
      </c>
      <c r="E81" s="8"/>
    </row>
    <row r="82" customHeight="1" spans="1:5">
      <c r="A82" s="8"/>
      <c r="B82" s="8" t="s">
        <v>457</v>
      </c>
      <c r="C82" s="8"/>
      <c r="D82" s="8">
        <v>213</v>
      </c>
      <c r="E82" s="8" t="s">
        <v>458</v>
      </c>
    </row>
    <row r="83" customHeight="1" spans="1:5">
      <c r="A83" s="8" t="s">
        <v>459</v>
      </c>
      <c r="B83" s="8" t="s">
        <v>18</v>
      </c>
      <c r="C83" s="8" t="s">
        <v>18</v>
      </c>
      <c r="D83" s="8">
        <v>7</v>
      </c>
      <c r="E83" s="8"/>
    </row>
    <row r="84" customHeight="1" spans="1:5">
      <c r="A84" s="8"/>
      <c r="B84" s="8" t="s">
        <v>217</v>
      </c>
      <c r="C84" s="8" t="s">
        <v>122</v>
      </c>
      <c r="D84" s="8">
        <v>2533.33</v>
      </c>
      <c r="E84" s="8"/>
    </row>
    <row r="85" customHeight="1" spans="1:5">
      <c r="A85" s="8" t="s">
        <v>460</v>
      </c>
      <c r="B85" s="8" t="s">
        <v>50</v>
      </c>
      <c r="C85" s="8"/>
      <c r="D85" s="8">
        <v>526.14</v>
      </c>
      <c r="E85" s="8" t="s">
        <v>461</v>
      </c>
    </row>
    <row r="86" customHeight="1" spans="1:5">
      <c r="A86" s="8"/>
      <c r="B86" s="8" t="s">
        <v>18</v>
      </c>
      <c r="C86" s="8" t="s">
        <v>18</v>
      </c>
      <c r="D86" s="8">
        <v>7</v>
      </c>
      <c r="E86" s="8"/>
    </row>
    <row r="87" customHeight="1" spans="1:5">
      <c r="A87" s="8"/>
      <c r="B87" s="8" t="s">
        <v>462</v>
      </c>
      <c r="C87" s="8"/>
      <c r="D87" s="8">
        <f>279+289.8</f>
        <v>568.8</v>
      </c>
      <c r="E87" s="8" t="s">
        <v>463</v>
      </c>
    </row>
    <row r="88" customHeight="1" spans="1:5">
      <c r="A88" s="8"/>
      <c r="B88" s="8" t="s">
        <v>464</v>
      </c>
      <c r="C88" s="8"/>
      <c r="D88" s="8">
        <v>20.5</v>
      </c>
      <c r="E88" s="8" t="s">
        <v>465</v>
      </c>
    </row>
    <row r="89" customHeight="1" spans="1:5">
      <c r="A89" s="8"/>
      <c r="B89" s="8" t="s">
        <v>272</v>
      </c>
      <c r="C89" s="8"/>
      <c r="D89" s="8">
        <f>50-35.95</f>
        <v>14.05</v>
      </c>
      <c r="E89" s="8" t="s">
        <v>466</v>
      </c>
    </row>
    <row r="90" customHeight="1" spans="1:5">
      <c r="A90" s="8" t="s">
        <v>467</v>
      </c>
      <c r="B90" s="8" t="s">
        <v>36</v>
      </c>
      <c r="C90" s="8"/>
      <c r="D90" s="8">
        <v>40</v>
      </c>
      <c r="E90" s="8"/>
    </row>
    <row r="91" customHeight="1" spans="1:5">
      <c r="A91" s="8"/>
      <c r="B91" s="8" t="s">
        <v>18</v>
      </c>
      <c r="C91" s="8"/>
      <c r="D91" s="8">
        <v>7</v>
      </c>
      <c r="E91" s="8"/>
    </row>
    <row r="92" customHeight="1" spans="1:5">
      <c r="A92" s="8"/>
      <c r="B92" s="8" t="s">
        <v>36</v>
      </c>
      <c r="C92" s="8"/>
      <c r="D92" s="8">
        <v>15</v>
      </c>
      <c r="E92" s="8"/>
    </row>
    <row r="93" customHeight="1" spans="1:5">
      <c r="A93" s="8" t="s">
        <v>468</v>
      </c>
      <c r="B93" s="8" t="s">
        <v>36</v>
      </c>
      <c r="C93" s="8"/>
      <c r="D93" s="8">
        <v>5</v>
      </c>
      <c r="E93" s="8"/>
    </row>
    <row r="94" customHeight="1" spans="1:5">
      <c r="A94" s="8"/>
      <c r="B94" s="8" t="s">
        <v>18</v>
      </c>
      <c r="C94" s="8"/>
      <c r="D94" s="8">
        <v>7</v>
      </c>
      <c r="E94" s="8"/>
    </row>
    <row r="95" customHeight="1" spans="1:5">
      <c r="A95" s="8"/>
      <c r="B95" s="8" t="s">
        <v>328</v>
      </c>
      <c r="C95" s="8"/>
      <c r="D95" s="8">
        <v>20.42</v>
      </c>
      <c r="E95" s="8"/>
    </row>
    <row r="96" customHeight="1" spans="1:5">
      <c r="A96" s="8" t="s">
        <v>469</v>
      </c>
      <c r="B96" s="8" t="s">
        <v>18</v>
      </c>
      <c r="C96" s="8"/>
      <c r="D96" s="8">
        <v>16</v>
      </c>
      <c r="E96" s="8"/>
    </row>
    <row r="97" customHeight="1" spans="1:5">
      <c r="A97" s="8"/>
      <c r="B97" s="8" t="s">
        <v>25</v>
      </c>
      <c r="C97" s="8"/>
      <c r="D97" s="8">
        <v>20</v>
      </c>
      <c r="E97" s="8"/>
    </row>
    <row r="98" customHeight="1" spans="1:5">
      <c r="A98" s="8"/>
      <c r="B98" s="8" t="s">
        <v>470</v>
      </c>
      <c r="C98" s="8"/>
      <c r="D98" s="8">
        <v>49.9</v>
      </c>
      <c r="E98" s="8"/>
    </row>
    <row r="99" customHeight="1" spans="1:5">
      <c r="A99" s="8"/>
      <c r="B99" s="8" t="s">
        <v>471</v>
      </c>
      <c r="C99" s="8"/>
      <c r="D99" s="8">
        <v>5</v>
      </c>
      <c r="E99" s="8"/>
    </row>
    <row r="100" customHeight="1" spans="1:5">
      <c r="A100" s="8"/>
      <c r="B100" s="8" t="s">
        <v>472</v>
      </c>
      <c r="C100" s="8"/>
      <c r="D100" s="8">
        <v>15</v>
      </c>
      <c r="E100" s="8"/>
    </row>
    <row r="101" customHeight="1" spans="1:5">
      <c r="A101" s="8" t="s">
        <v>473</v>
      </c>
      <c r="B101" s="8" t="s">
        <v>36</v>
      </c>
      <c r="C101" s="8"/>
      <c r="D101" s="8">
        <v>20</v>
      </c>
      <c r="E101" s="8" t="s">
        <v>474</v>
      </c>
    </row>
    <row r="102" customHeight="1" spans="1:5">
      <c r="A102" s="8"/>
      <c r="B102" s="8" t="s">
        <v>18</v>
      </c>
      <c r="C102" s="8"/>
      <c r="D102" s="8">
        <v>7</v>
      </c>
      <c r="E102" s="8"/>
    </row>
    <row r="103" customHeight="1" spans="1:5">
      <c r="A103" s="8"/>
      <c r="B103" s="8" t="s">
        <v>36</v>
      </c>
      <c r="C103" s="8"/>
      <c r="D103" s="8">
        <v>2</v>
      </c>
      <c r="E103" s="8" t="s">
        <v>475</v>
      </c>
    </row>
    <row r="104" customHeight="1" spans="1:5">
      <c r="A104" s="8"/>
      <c r="B104" s="8" t="s">
        <v>476</v>
      </c>
      <c r="C104" s="8"/>
      <c r="D104" s="8">
        <v>28.82</v>
      </c>
      <c r="E104" s="8"/>
    </row>
    <row r="105" customHeight="1" spans="1:5">
      <c r="A105" s="8"/>
      <c r="B105" s="8" t="s">
        <v>477</v>
      </c>
      <c r="C105" s="8"/>
      <c r="D105" s="8">
        <v>58.87</v>
      </c>
      <c r="E105" s="8"/>
    </row>
    <row r="119" customHeight="1" spans="1:2">
      <c r="A119"/>
      <c r="B119"/>
    </row>
  </sheetData>
  <mergeCells count="31">
    <mergeCell ref="A2:A6"/>
    <mergeCell ref="A7:A8"/>
    <mergeCell ref="A9:A11"/>
    <mergeCell ref="A12:A14"/>
    <mergeCell ref="A15:A16"/>
    <mergeCell ref="A17:A21"/>
    <mergeCell ref="A22:A23"/>
    <mergeCell ref="A24:A28"/>
    <mergeCell ref="A29:A30"/>
    <mergeCell ref="A31:A32"/>
    <mergeCell ref="A33:A39"/>
    <mergeCell ref="A40:A41"/>
    <mergeCell ref="A42:A43"/>
    <mergeCell ref="A44:A46"/>
    <mergeCell ref="A47:A49"/>
    <mergeCell ref="A50:A51"/>
    <mergeCell ref="A52:A53"/>
    <mergeCell ref="A54:A55"/>
    <mergeCell ref="A56:A57"/>
    <mergeCell ref="A58:A59"/>
    <mergeCell ref="A60:A63"/>
    <mergeCell ref="A64:A65"/>
    <mergeCell ref="A66:A75"/>
    <mergeCell ref="A76:A80"/>
    <mergeCell ref="A81:A82"/>
    <mergeCell ref="A83:A84"/>
    <mergeCell ref="A85:A89"/>
    <mergeCell ref="A90:A92"/>
    <mergeCell ref="A93:A95"/>
    <mergeCell ref="A96:A100"/>
    <mergeCell ref="A101:A105"/>
  </mergeCells>
  <conditionalFormatting sqref="C4">
    <cfRule type="cellIs" dxfId="0" priority="163" operator="equal">
      <formula>#REF!</formula>
    </cfRule>
    <cfRule type="cellIs" dxfId="1" priority="164" operator="equal">
      <formula>#REF!</formula>
    </cfRule>
    <cfRule type="cellIs" dxfId="2" priority="165" operator="equal">
      <formula>#REF!</formula>
    </cfRule>
    <cfRule type="cellIs" dxfId="3" priority="166" operator="equal">
      <formula>#REF!</formula>
    </cfRule>
    <cfRule type="cellIs" dxfId="3" priority="167" operator="equal">
      <formula>#REF!</formula>
    </cfRule>
    <cfRule type="cellIs" dxfId="3" priority="168" operator="equal">
      <formula>#REF!</formula>
    </cfRule>
    <cfRule type="cellIs" dxfId="3" priority="169" operator="equal">
      <formula>#REF!</formula>
    </cfRule>
    <cfRule type="cellIs" dxfId="3" priority="170" operator="equal">
      <formula>#REF!</formula>
    </cfRule>
    <cfRule type="cellIs" dxfId="4" priority="171" operator="equal">
      <formula>#REF!</formula>
    </cfRule>
  </conditionalFormatting>
  <conditionalFormatting sqref="C5">
    <cfRule type="cellIs" dxfId="0" priority="172" operator="equal">
      <formula>#REF!</formula>
    </cfRule>
    <cfRule type="cellIs" dxfId="1" priority="173" operator="equal">
      <formula>#REF!</formula>
    </cfRule>
    <cfRule type="cellIs" dxfId="2" priority="174" operator="equal">
      <formula>#REF!</formula>
    </cfRule>
    <cfRule type="cellIs" dxfId="3" priority="175" operator="equal">
      <formula>#REF!</formula>
    </cfRule>
    <cfRule type="cellIs" dxfId="3" priority="176" operator="equal">
      <formula>#REF!</formula>
    </cfRule>
    <cfRule type="cellIs" dxfId="3" priority="177" operator="equal">
      <formula>#REF!</formula>
    </cfRule>
    <cfRule type="cellIs" dxfId="3" priority="178" operator="equal">
      <formula>#REF!</formula>
    </cfRule>
    <cfRule type="cellIs" dxfId="3" priority="179" operator="equal">
      <formula>#REF!</formula>
    </cfRule>
    <cfRule type="cellIs" dxfId="4" priority="180" operator="equal">
      <formula>#REF!</formula>
    </cfRule>
  </conditionalFormatting>
  <conditionalFormatting sqref="C11">
    <cfRule type="cellIs" dxfId="0" priority="154" operator="equal">
      <formula>#REF!</formula>
    </cfRule>
    <cfRule type="cellIs" dxfId="1" priority="155" operator="equal">
      <formula>#REF!</formula>
    </cfRule>
    <cfRule type="cellIs" dxfId="2" priority="156" operator="equal">
      <formula>#REF!</formula>
    </cfRule>
    <cfRule type="cellIs" dxfId="3" priority="157" operator="equal">
      <formula>#REF!</formula>
    </cfRule>
    <cfRule type="cellIs" dxfId="3" priority="158" operator="equal">
      <formula>#REF!</formula>
    </cfRule>
    <cfRule type="cellIs" dxfId="3" priority="159" operator="equal">
      <formula>#REF!</formula>
    </cfRule>
    <cfRule type="cellIs" dxfId="3" priority="160" operator="equal">
      <formula>#REF!</formula>
    </cfRule>
    <cfRule type="cellIs" dxfId="3" priority="161" operator="equal">
      <formula>#REF!</formula>
    </cfRule>
    <cfRule type="cellIs" dxfId="4" priority="162" operator="equal">
      <formula>#REF!</formula>
    </cfRule>
  </conditionalFormatting>
  <conditionalFormatting sqref="C21">
    <cfRule type="cellIs" dxfId="0" priority="145" operator="equal">
      <formula>#REF!</formula>
    </cfRule>
    <cfRule type="cellIs" dxfId="1" priority="146" operator="equal">
      <formula>#REF!</formula>
    </cfRule>
    <cfRule type="cellIs" dxfId="2" priority="147" operator="equal">
      <formula>#REF!</formula>
    </cfRule>
    <cfRule type="cellIs" dxfId="3" priority="148" operator="equal">
      <formula>#REF!</formula>
    </cfRule>
    <cfRule type="cellIs" dxfId="3" priority="149" operator="equal">
      <formula>#REF!</formula>
    </cfRule>
    <cfRule type="cellIs" dxfId="3" priority="150" operator="equal">
      <formula>#REF!</formula>
    </cfRule>
    <cfRule type="cellIs" dxfId="3" priority="151" operator="equal">
      <formula>#REF!</formula>
    </cfRule>
    <cfRule type="cellIs" dxfId="3" priority="152" operator="equal">
      <formula>#REF!</formula>
    </cfRule>
    <cfRule type="cellIs" dxfId="4" priority="153" operator="equal">
      <formula>#REF!</formula>
    </cfRule>
  </conditionalFormatting>
  <conditionalFormatting sqref="C40">
    <cfRule type="cellIs" dxfId="0" priority="118" operator="equal">
      <formula>#REF!</formula>
    </cfRule>
    <cfRule type="cellIs" dxfId="1" priority="119" operator="equal">
      <formula>#REF!</formula>
    </cfRule>
    <cfRule type="cellIs" dxfId="2" priority="120" operator="equal">
      <formula>#REF!</formula>
    </cfRule>
    <cfRule type="cellIs" dxfId="3" priority="121" operator="equal">
      <formula>#REF!</formula>
    </cfRule>
    <cfRule type="cellIs" dxfId="3" priority="122" operator="equal">
      <formula>#REF!</formula>
    </cfRule>
    <cfRule type="cellIs" dxfId="3" priority="123" operator="equal">
      <formula>#REF!</formula>
    </cfRule>
    <cfRule type="cellIs" dxfId="3" priority="124" operator="equal">
      <formula>#REF!</formula>
    </cfRule>
    <cfRule type="cellIs" dxfId="3" priority="125" operator="equal">
      <formula>#REF!</formula>
    </cfRule>
    <cfRule type="cellIs" dxfId="4" priority="126" operator="equal">
      <formula>#REF!</formula>
    </cfRule>
  </conditionalFormatting>
  <conditionalFormatting sqref="C45">
    <cfRule type="cellIs" dxfId="0" priority="100" operator="equal">
      <formula>#REF!</formula>
    </cfRule>
    <cfRule type="cellIs" dxfId="1" priority="101" operator="equal">
      <formula>#REF!</formula>
    </cfRule>
    <cfRule type="cellIs" dxfId="2" priority="102" operator="equal">
      <formula>#REF!</formula>
    </cfRule>
    <cfRule type="cellIs" dxfId="3" priority="103" operator="equal">
      <formula>#REF!</formula>
    </cfRule>
    <cfRule type="cellIs" dxfId="3" priority="104" operator="equal">
      <formula>#REF!</formula>
    </cfRule>
    <cfRule type="cellIs" dxfId="3" priority="105" operator="equal">
      <formula>#REF!</formula>
    </cfRule>
    <cfRule type="cellIs" dxfId="3" priority="106" operator="equal">
      <formula>#REF!</formula>
    </cfRule>
    <cfRule type="cellIs" dxfId="3" priority="107" operator="equal">
      <formula>#REF!</formula>
    </cfRule>
    <cfRule type="cellIs" dxfId="4" priority="108" operator="equal">
      <formula>#REF!</formula>
    </cfRule>
  </conditionalFormatting>
  <conditionalFormatting sqref="C56">
    <cfRule type="cellIs" dxfId="0" priority="91" operator="equal">
      <formula>#REF!</formula>
    </cfRule>
    <cfRule type="cellIs" dxfId="1" priority="92" operator="equal">
      <formula>#REF!</formula>
    </cfRule>
    <cfRule type="cellIs" dxfId="2" priority="93" operator="equal">
      <formula>#REF!</formula>
    </cfRule>
    <cfRule type="cellIs" dxfId="3" priority="94" operator="equal">
      <formula>#REF!</formula>
    </cfRule>
    <cfRule type="cellIs" dxfId="3" priority="95" operator="equal">
      <formula>#REF!</formula>
    </cfRule>
    <cfRule type="cellIs" dxfId="3" priority="96" operator="equal">
      <formula>#REF!</formula>
    </cfRule>
    <cfRule type="cellIs" dxfId="3" priority="97" operator="equal">
      <formula>#REF!</formula>
    </cfRule>
    <cfRule type="cellIs" dxfId="3" priority="98" operator="equal">
      <formula>#REF!</formula>
    </cfRule>
    <cfRule type="cellIs" dxfId="4" priority="99" operator="equal">
      <formula>#REF!</formula>
    </cfRule>
  </conditionalFormatting>
  <conditionalFormatting sqref="C83">
    <cfRule type="cellIs" dxfId="0" priority="73" operator="equal">
      <formula>#REF!</formula>
    </cfRule>
    <cfRule type="cellIs" dxfId="1" priority="74" operator="equal">
      <formula>#REF!</formula>
    </cfRule>
    <cfRule type="cellIs" dxfId="2" priority="75" operator="equal">
      <formula>#REF!</formula>
    </cfRule>
    <cfRule type="cellIs" dxfId="3" priority="76" operator="equal">
      <formula>#REF!</formula>
    </cfRule>
    <cfRule type="cellIs" dxfId="3" priority="77" operator="equal">
      <formula>#REF!</formula>
    </cfRule>
    <cfRule type="cellIs" dxfId="3" priority="78" operator="equal">
      <formula>#REF!</formula>
    </cfRule>
    <cfRule type="cellIs" dxfId="3" priority="79" operator="equal">
      <formula>#REF!</formula>
    </cfRule>
    <cfRule type="cellIs" dxfId="3" priority="80" operator="equal">
      <formula>#REF!</formula>
    </cfRule>
    <cfRule type="cellIs" dxfId="4" priority="81" operator="equal">
      <formula>#REF!</formula>
    </cfRule>
  </conditionalFormatting>
  <conditionalFormatting sqref="C84">
    <cfRule type="cellIs" dxfId="0" priority="46" operator="equal">
      <formula>#REF!</formula>
    </cfRule>
    <cfRule type="cellIs" dxfId="1" priority="47" operator="equal">
      <formula>#REF!</formula>
    </cfRule>
    <cfRule type="cellIs" dxfId="2" priority="48" operator="equal">
      <formula>#REF!</formula>
    </cfRule>
    <cfRule type="cellIs" dxfId="3" priority="49" operator="equal">
      <formula>#REF!</formula>
    </cfRule>
    <cfRule type="cellIs" dxfId="3" priority="50" operator="equal">
      <formula>#REF!</formula>
    </cfRule>
    <cfRule type="cellIs" dxfId="3" priority="51" operator="equal">
      <formula>#REF!</formula>
    </cfRule>
    <cfRule type="cellIs" dxfId="3" priority="52" operator="equal">
      <formula>#REF!</formula>
    </cfRule>
    <cfRule type="cellIs" dxfId="3" priority="53" operator="equal">
      <formula>#REF!</formula>
    </cfRule>
    <cfRule type="cellIs" dxfId="4" priority="54" operator="equal">
      <formula>#REF!</formula>
    </cfRule>
  </conditionalFormatting>
  <conditionalFormatting sqref="C85">
    <cfRule type="cellIs" dxfId="0" priority="64" operator="equal">
      <formula>#REF!</formula>
    </cfRule>
    <cfRule type="cellIs" dxfId="1" priority="65" operator="equal">
      <formula>#REF!</formula>
    </cfRule>
    <cfRule type="cellIs" dxfId="2" priority="66" operator="equal">
      <formula>#REF!</formula>
    </cfRule>
    <cfRule type="cellIs" dxfId="3" priority="67" operator="equal">
      <formula>#REF!</formula>
    </cfRule>
    <cfRule type="cellIs" dxfId="3" priority="68" operator="equal">
      <formula>#REF!</formula>
    </cfRule>
    <cfRule type="cellIs" dxfId="3" priority="69" operator="equal">
      <formula>#REF!</formula>
    </cfRule>
    <cfRule type="cellIs" dxfId="3" priority="70" operator="equal">
      <formula>#REF!</formula>
    </cfRule>
    <cfRule type="cellIs" dxfId="3" priority="71" operator="equal">
      <formula>#REF!</formula>
    </cfRule>
    <cfRule type="cellIs" dxfId="4" priority="72" operator="equal">
      <formula>#REF!</formula>
    </cfRule>
  </conditionalFormatting>
  <conditionalFormatting sqref="C86">
    <cfRule type="cellIs" dxfId="0" priority="55" operator="equal">
      <formula>#REF!</formula>
    </cfRule>
    <cfRule type="cellIs" dxfId="1" priority="56" operator="equal">
      <formula>#REF!</formula>
    </cfRule>
    <cfRule type="cellIs" dxfId="2" priority="57" operator="equal">
      <formula>#REF!</formula>
    </cfRule>
    <cfRule type="cellIs" dxfId="3" priority="58" operator="equal">
      <formula>#REF!</formula>
    </cfRule>
    <cfRule type="cellIs" dxfId="3" priority="59" operator="equal">
      <formula>#REF!</formula>
    </cfRule>
    <cfRule type="cellIs" dxfId="3" priority="60" operator="equal">
      <formula>#REF!</formula>
    </cfRule>
    <cfRule type="cellIs" dxfId="3" priority="61" operator="equal">
      <formula>#REF!</formula>
    </cfRule>
    <cfRule type="cellIs" dxfId="3" priority="62" operator="equal">
      <formula>#REF!</formula>
    </cfRule>
    <cfRule type="cellIs" dxfId="4" priority="63" operator="equal">
      <formula>#REF!</formula>
    </cfRule>
  </conditionalFormatting>
  <conditionalFormatting sqref="C87">
    <cfRule type="cellIs" dxfId="0" priority="37" operator="equal">
      <formula>#REF!</formula>
    </cfRule>
    <cfRule type="cellIs" dxfId="1" priority="38" operator="equal">
      <formula>#REF!</formula>
    </cfRule>
    <cfRule type="cellIs" dxfId="2" priority="39" operator="equal">
      <formula>#REF!</formula>
    </cfRule>
    <cfRule type="cellIs" dxfId="3" priority="40" operator="equal">
      <formula>#REF!</formula>
    </cfRule>
    <cfRule type="cellIs" dxfId="3" priority="41" operator="equal">
      <formula>#REF!</formula>
    </cfRule>
    <cfRule type="cellIs" dxfId="3" priority="42" operator="equal">
      <formula>#REF!</formula>
    </cfRule>
    <cfRule type="cellIs" dxfId="3" priority="43" operator="equal">
      <formula>#REF!</formula>
    </cfRule>
    <cfRule type="cellIs" dxfId="3" priority="44" operator="equal">
      <formula>#REF!</formula>
    </cfRule>
    <cfRule type="cellIs" dxfId="4" priority="45" operator="equal">
      <formula>#REF!</formula>
    </cfRule>
  </conditionalFormatting>
  <conditionalFormatting sqref="C88">
    <cfRule type="cellIs" dxfId="0" priority="28" operator="equal">
      <formula>#REF!</formula>
    </cfRule>
    <cfRule type="cellIs" dxfId="1" priority="29" operator="equal">
      <formula>#REF!</formula>
    </cfRule>
    <cfRule type="cellIs" dxfId="2" priority="30" operator="equal">
      <formula>#REF!</formula>
    </cfRule>
    <cfRule type="cellIs" dxfId="3" priority="31" operator="equal">
      <formula>#REF!</formula>
    </cfRule>
    <cfRule type="cellIs" dxfId="3" priority="32" operator="equal">
      <formula>#REF!</formula>
    </cfRule>
    <cfRule type="cellIs" dxfId="3" priority="33" operator="equal">
      <formula>#REF!</formula>
    </cfRule>
    <cfRule type="cellIs" dxfId="3" priority="34" operator="equal">
      <formula>#REF!</formula>
    </cfRule>
    <cfRule type="cellIs" dxfId="3" priority="35" operator="equal">
      <formula>#REF!</formula>
    </cfRule>
    <cfRule type="cellIs" dxfId="4" priority="36" operator="equal">
      <formula>#REF!</formula>
    </cfRule>
  </conditionalFormatting>
  <conditionalFormatting sqref="C89">
    <cfRule type="cellIs" dxfId="0" priority="183" operator="equal">
      <formula>#REF!</formula>
    </cfRule>
    <cfRule type="cellIs" dxfId="1" priority="186" operator="equal">
      <formula>#REF!</formula>
    </cfRule>
    <cfRule type="cellIs" dxfId="2" priority="189" operator="equal">
      <formula>#REF!</formula>
    </cfRule>
    <cfRule type="cellIs" dxfId="3" priority="192" operator="equal">
      <formula>#REF!</formula>
    </cfRule>
    <cfRule type="cellIs" dxfId="3" priority="195" operator="equal">
      <formula>#REF!</formula>
    </cfRule>
    <cfRule type="cellIs" dxfId="3" priority="198" operator="equal">
      <formula>#REF!</formula>
    </cfRule>
    <cfRule type="cellIs" dxfId="3" priority="201" operator="equal">
      <formula>#REF!</formula>
    </cfRule>
    <cfRule type="cellIs" dxfId="3" priority="204" operator="equal">
      <formula>#REF!</formula>
    </cfRule>
    <cfRule type="cellIs" dxfId="4" priority="207" operator="equal">
      <formula>#REF!</formula>
    </cfRule>
  </conditionalFormatting>
  <conditionalFormatting sqref="C94">
    <cfRule type="cellIs" dxfId="0" priority="10" operator="equal">
      <formula>#REF!</formula>
    </cfRule>
    <cfRule type="cellIs" dxfId="1" priority="11" operator="equal">
      <formula>#REF!</formula>
    </cfRule>
    <cfRule type="cellIs" dxfId="2" priority="12" operator="equal">
      <formula>#REF!</formula>
    </cfRule>
    <cfRule type="cellIs" dxfId="3" priority="13" operator="equal">
      <formula>#REF!</formula>
    </cfRule>
    <cfRule type="cellIs" dxfId="3" priority="14" operator="equal">
      <formula>#REF!</formula>
    </cfRule>
    <cfRule type="cellIs" dxfId="3" priority="15" operator="equal">
      <formula>#REF!</formula>
    </cfRule>
    <cfRule type="cellIs" dxfId="3" priority="16" operator="equal">
      <formula>#REF!</formula>
    </cfRule>
    <cfRule type="cellIs" dxfId="3" priority="17" operator="equal">
      <formula>#REF!</formula>
    </cfRule>
    <cfRule type="cellIs" dxfId="4" priority="18" operator="equal">
      <formula>#REF!</formula>
    </cfRule>
  </conditionalFormatting>
  <conditionalFormatting sqref="C103">
    <cfRule type="cellIs" dxfId="0" priority="1" operator="equal">
      <formula>#REF!</formula>
    </cfRule>
    <cfRule type="cellIs" dxfId="1" priority="2" operator="equal">
      <formula>#REF!</formula>
    </cfRule>
    <cfRule type="cellIs" dxfId="2" priority="3" operator="equal">
      <formula>#REF!</formula>
    </cfRule>
    <cfRule type="cellIs" dxfId="3" priority="4" operator="equal">
      <formula>#REF!</formula>
    </cfRule>
    <cfRule type="cellIs" dxfId="3" priority="5" operator="equal">
      <formula>#REF!</formula>
    </cfRule>
    <cfRule type="cellIs" dxfId="3" priority="6" operator="equal">
      <formula>#REF!</formula>
    </cfRule>
    <cfRule type="cellIs" dxfId="3" priority="7" operator="equal">
      <formula>#REF!</formula>
    </cfRule>
    <cfRule type="cellIs" dxfId="3" priority="8" operator="equal">
      <formula>#REF!</formula>
    </cfRule>
    <cfRule type="cellIs" dxfId="4" priority="9" operator="equal">
      <formula>#REF!</formula>
    </cfRule>
  </conditionalFormatting>
  <conditionalFormatting sqref="C29:C30">
    <cfRule type="cellIs" dxfId="0" priority="109" operator="equal">
      <formula>#REF!</formula>
    </cfRule>
    <cfRule type="cellIs" dxfId="1" priority="110" operator="equal">
      <formula>#REF!</formula>
    </cfRule>
    <cfRule type="cellIs" dxfId="2" priority="111" operator="equal">
      <formula>#REF!</formula>
    </cfRule>
    <cfRule type="cellIs" dxfId="3" priority="112" operator="equal">
      <formula>#REF!</formula>
    </cfRule>
    <cfRule type="cellIs" dxfId="3" priority="113" operator="equal">
      <formula>#REF!</formula>
    </cfRule>
    <cfRule type="cellIs" dxfId="3" priority="114" operator="equal">
      <formula>#REF!</formula>
    </cfRule>
    <cfRule type="cellIs" dxfId="3" priority="115" operator="equal">
      <formula>#REF!</formula>
    </cfRule>
    <cfRule type="cellIs" dxfId="3" priority="116" operator="equal">
      <formula>#REF!</formula>
    </cfRule>
    <cfRule type="cellIs" dxfId="4" priority="117" operator="equal">
      <formula>#REF!</formula>
    </cfRule>
  </conditionalFormatting>
  <conditionalFormatting sqref="C42:C43">
    <cfRule type="cellIs" dxfId="0" priority="127" operator="equal">
      <formula>#REF!</formula>
    </cfRule>
    <cfRule type="cellIs" dxfId="1" priority="128" operator="equal">
      <formula>#REF!</formula>
    </cfRule>
    <cfRule type="cellIs" dxfId="2" priority="129" operator="equal">
      <formula>#REF!</formula>
    </cfRule>
    <cfRule type="cellIs" dxfId="3" priority="130" operator="equal">
      <formula>#REF!</formula>
    </cfRule>
    <cfRule type="cellIs" dxfId="3" priority="131" operator="equal">
      <formula>#REF!</formula>
    </cfRule>
    <cfRule type="cellIs" dxfId="3" priority="132" operator="equal">
      <formula>#REF!</formula>
    </cfRule>
    <cfRule type="cellIs" dxfId="3" priority="133" operator="equal">
      <formula>#REF!</formula>
    </cfRule>
    <cfRule type="cellIs" dxfId="3" priority="134" operator="equal">
      <formula>#REF!</formula>
    </cfRule>
    <cfRule type="cellIs" dxfId="4" priority="135" operator="equal">
      <formula>#REF!</formula>
    </cfRule>
  </conditionalFormatting>
  <conditionalFormatting sqref="C58:C59">
    <cfRule type="cellIs" dxfId="0" priority="82" operator="equal">
      <formula>#REF!</formula>
    </cfRule>
    <cfRule type="cellIs" dxfId="1" priority="83" operator="equal">
      <formula>#REF!</formula>
    </cfRule>
    <cfRule type="cellIs" dxfId="2" priority="84" operator="equal">
      <formula>#REF!</formula>
    </cfRule>
    <cfRule type="cellIs" dxfId="3" priority="85" operator="equal">
      <formula>#REF!</formula>
    </cfRule>
    <cfRule type="cellIs" dxfId="3" priority="86" operator="equal">
      <formula>#REF!</formula>
    </cfRule>
    <cfRule type="cellIs" dxfId="3" priority="87" operator="equal">
      <formula>#REF!</formula>
    </cfRule>
    <cfRule type="cellIs" dxfId="3" priority="88" operator="equal">
      <formula>#REF!</formula>
    </cfRule>
    <cfRule type="cellIs" dxfId="3" priority="89" operator="equal">
      <formula>#REF!</formula>
    </cfRule>
    <cfRule type="cellIs" dxfId="4" priority="90" operator="equal">
      <formula>#REF!</formula>
    </cfRule>
  </conditionalFormatting>
  <conditionalFormatting sqref="C90:C92">
    <cfRule type="cellIs" dxfId="0" priority="182" operator="equal">
      <formula>#REF!</formula>
    </cfRule>
    <cfRule type="cellIs" dxfId="1" priority="185" operator="equal">
      <formula>#REF!</formula>
    </cfRule>
    <cfRule type="cellIs" dxfId="2" priority="188" operator="equal">
      <formula>#REF!</formula>
    </cfRule>
    <cfRule type="cellIs" dxfId="3" priority="191" operator="equal">
      <formula>#REF!</formula>
    </cfRule>
    <cfRule type="cellIs" dxfId="3" priority="194" operator="equal">
      <formula>#REF!</formula>
    </cfRule>
    <cfRule type="cellIs" dxfId="3" priority="197" operator="equal">
      <formula>#REF!</formula>
    </cfRule>
    <cfRule type="cellIs" dxfId="3" priority="200" operator="equal">
      <formula>#REF!</formula>
    </cfRule>
    <cfRule type="cellIs" dxfId="3" priority="203" operator="equal">
      <formula>#REF!</formula>
    </cfRule>
    <cfRule type="cellIs" dxfId="4" priority="206" operator="equal">
      <formula>#REF!</formula>
    </cfRule>
  </conditionalFormatting>
  <conditionalFormatting sqref="C1:C3 C104:C1048576 C6:C10 C12:C20 C96:C102 C60:C82 C57 C47:C55 C41 C31:C39 C22:C28">
    <cfRule type="cellIs" dxfId="0" priority="208" operator="equal">
      <formula>#REF!</formula>
    </cfRule>
    <cfRule type="cellIs" dxfId="1" priority="209" operator="equal">
      <formula>#REF!</formula>
    </cfRule>
    <cfRule type="cellIs" dxfId="2" priority="210" operator="equal">
      <formula>#REF!</formula>
    </cfRule>
    <cfRule type="cellIs" dxfId="3" priority="211" operator="equal">
      <formula>#REF!</formula>
    </cfRule>
    <cfRule type="cellIs" dxfId="3" priority="212" operator="equal">
      <formula>#REF!</formula>
    </cfRule>
    <cfRule type="cellIs" dxfId="3" priority="213" operator="equal">
      <formula>#REF!</formula>
    </cfRule>
    <cfRule type="cellIs" dxfId="3" priority="214" operator="equal">
      <formula>#REF!</formula>
    </cfRule>
    <cfRule type="cellIs" dxfId="3" priority="215" operator="equal">
      <formula>#REF!</formula>
    </cfRule>
    <cfRule type="cellIs" dxfId="4" priority="216" operator="equal">
      <formula>#REF!</formula>
    </cfRule>
  </conditionalFormatting>
  <conditionalFormatting sqref="C44 C46">
    <cfRule type="cellIs" dxfId="0" priority="136" operator="equal">
      <formula>#REF!</formula>
    </cfRule>
    <cfRule type="cellIs" dxfId="1" priority="137" operator="equal">
      <formula>#REF!</formula>
    </cfRule>
    <cfRule type="cellIs" dxfId="2" priority="138" operator="equal">
      <formula>#REF!</formula>
    </cfRule>
    <cfRule type="cellIs" dxfId="3" priority="139" operator="equal">
      <formula>#REF!</formula>
    </cfRule>
    <cfRule type="cellIs" dxfId="3" priority="140" operator="equal">
      <formula>#REF!</formula>
    </cfRule>
    <cfRule type="cellIs" dxfId="3" priority="141" operator="equal">
      <formula>#REF!</formula>
    </cfRule>
    <cfRule type="cellIs" dxfId="3" priority="142" operator="equal">
      <formula>#REF!</formula>
    </cfRule>
    <cfRule type="cellIs" dxfId="3" priority="143" operator="equal">
      <formula>#REF!</formula>
    </cfRule>
    <cfRule type="cellIs" dxfId="4" priority="144" operator="equal">
      <formula>#REF!</formula>
    </cfRule>
  </conditionalFormatting>
  <conditionalFormatting sqref="C93 C95">
    <cfRule type="cellIs" dxfId="0" priority="19" operator="equal">
      <formula>#REF!</formula>
    </cfRule>
    <cfRule type="cellIs" dxfId="1" priority="20" operator="equal">
      <formula>#REF!</formula>
    </cfRule>
    <cfRule type="cellIs" dxfId="2" priority="21" operator="equal">
      <formula>#REF!</formula>
    </cfRule>
    <cfRule type="cellIs" dxfId="3" priority="22" operator="equal">
      <formula>#REF!</formula>
    </cfRule>
    <cfRule type="cellIs" dxfId="3" priority="23" operator="equal">
      <formula>#REF!</formula>
    </cfRule>
    <cfRule type="cellIs" dxfId="3" priority="24" operator="equal">
      <formula>#REF!</formula>
    </cfRule>
    <cfRule type="cellIs" dxfId="3" priority="25" operator="equal">
      <formula>#REF!</formula>
    </cfRule>
    <cfRule type="cellIs" dxfId="3" priority="26" operator="equal">
      <formula>#REF!</formula>
    </cfRule>
    <cfRule type="cellIs" dxfId="4" priority="27" operator="equal">
      <formula>#REF!</formula>
    </cfRule>
  </conditionalFormatting>
  <dataValidations count="1">
    <dataValidation type="list" allowBlank="1" showInputMessage="1" showErrorMessage="1" sqref="C3 C4 C5 C10 C11 C12 C13 C18 C19 C20 C21 C25 C26 C27 C28 C29 C30 C34 C35 C36 C37 C38 C39 C40 C41 C42 C43 C44 C45 C46 C47 C48 C56 C57 C60 C61 C62 C67 C68 C69 C70 C71 C72 C73 C74 C75 C76 C77 C78 C79 C83 C84 C85 C86 C87 C88 C91 C92 C93 C94 C95 C96 C97 C98 C99 C102 C103 C104 C105 C1:C2 C6:C9 C14:C17 C22:C24 C31:C33 C49:C55 C58:C59 C63:C66 C80:C82 C89:C90 C100:C101 C106:C1048576">
      <formula1>#REF!</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6"/>
  <sheetViews>
    <sheetView topLeftCell="A31" workbookViewId="0">
      <selection activeCell="A92" sqref="$A92:$XFD92"/>
    </sheetView>
  </sheetViews>
  <sheetFormatPr defaultColWidth="9" defaultRowHeight="16.5" customHeight="1" outlineLevelCol="4"/>
  <cols>
    <col min="1" max="1" width="11.5092592592593" style="6" customWidth="1"/>
    <col min="2" max="2" width="19.5092592592593" style="6" customWidth="1"/>
    <col min="3" max="3" width="11.5092592592593" style="6" hidden="1" customWidth="1"/>
    <col min="4" max="4" width="11.5092592592593" style="6" customWidth="1"/>
    <col min="5" max="5" width="23.5092592592593" style="6" customWidth="1"/>
    <col min="6" max="16384" width="9" style="6"/>
  </cols>
  <sheetData>
    <row r="1" customHeight="1" spans="1:5">
      <c r="A1" s="7" t="s">
        <v>0</v>
      </c>
      <c r="B1" s="7" t="s">
        <v>1</v>
      </c>
      <c r="C1" s="7" t="s">
        <v>2</v>
      </c>
      <c r="D1" s="7" t="s">
        <v>3</v>
      </c>
      <c r="E1" s="7" t="s">
        <v>4</v>
      </c>
    </row>
    <row r="2" customHeight="1" spans="1:5">
      <c r="A2" s="8" t="s">
        <v>478</v>
      </c>
      <c r="B2" s="8" t="s">
        <v>18</v>
      </c>
      <c r="C2" s="8"/>
      <c r="D2" s="8">
        <v>7</v>
      </c>
      <c r="E2" s="8"/>
    </row>
    <row r="3" customHeight="1" spans="1:5">
      <c r="A3" s="8"/>
      <c r="B3" s="8" t="s">
        <v>272</v>
      </c>
      <c r="C3" s="8"/>
      <c r="D3" s="8">
        <f>49.99-34.44</f>
        <v>15.55</v>
      </c>
      <c r="E3" s="8" t="s">
        <v>479</v>
      </c>
    </row>
    <row r="4" customHeight="1" spans="1:5">
      <c r="A4" s="8" t="s">
        <v>480</v>
      </c>
      <c r="B4" s="8" t="s">
        <v>36</v>
      </c>
      <c r="C4" s="8"/>
      <c r="D4" s="8">
        <v>20</v>
      </c>
      <c r="E4" s="8"/>
    </row>
    <row r="5" customHeight="1" spans="1:5">
      <c r="A5" s="8"/>
      <c r="B5" s="8" t="s">
        <v>18</v>
      </c>
      <c r="C5" s="8"/>
      <c r="D5" s="8">
        <v>7</v>
      </c>
      <c r="E5" s="8"/>
    </row>
    <row r="6" customHeight="1" spans="1:5">
      <c r="A6" s="8"/>
      <c r="B6" s="8" t="s">
        <v>470</v>
      </c>
      <c r="C6" s="8"/>
      <c r="D6" s="8">
        <v>49.89</v>
      </c>
      <c r="E6" s="8" t="s">
        <v>481</v>
      </c>
    </row>
    <row r="7" customHeight="1" spans="1:5">
      <c r="A7" s="8"/>
      <c r="B7" s="8" t="s">
        <v>482</v>
      </c>
      <c r="C7" s="8"/>
      <c r="D7" s="8">
        <v>25.26</v>
      </c>
      <c r="E7" s="8"/>
    </row>
    <row r="8" customHeight="1" spans="1:5">
      <c r="A8" s="8" t="s">
        <v>483</v>
      </c>
      <c r="B8" s="8" t="s">
        <v>484</v>
      </c>
      <c r="C8" s="8"/>
      <c r="D8" s="8">
        <v>50</v>
      </c>
      <c r="E8" s="8" t="s">
        <v>485</v>
      </c>
    </row>
    <row r="9" customHeight="1" spans="1:5">
      <c r="A9" s="8"/>
      <c r="B9" s="8" t="s">
        <v>484</v>
      </c>
      <c r="C9" s="8"/>
      <c r="D9" s="8">
        <v>50</v>
      </c>
      <c r="E9" s="8" t="s">
        <v>486</v>
      </c>
    </row>
    <row r="10" customHeight="1" spans="1:5">
      <c r="A10" s="8"/>
      <c r="B10" s="8" t="s">
        <v>25</v>
      </c>
      <c r="C10" s="8"/>
      <c r="D10" s="8">
        <v>10</v>
      </c>
      <c r="E10" s="8"/>
    </row>
    <row r="11" customHeight="1" spans="1:5">
      <c r="A11" s="8"/>
      <c r="B11" s="8" t="s">
        <v>487</v>
      </c>
      <c r="C11" s="8"/>
      <c r="D11" s="8">
        <v>192.9</v>
      </c>
      <c r="E11" s="8"/>
    </row>
    <row r="12" customHeight="1" spans="1:5">
      <c r="A12" s="8" t="s">
        <v>488</v>
      </c>
      <c r="B12" s="8" t="s">
        <v>489</v>
      </c>
      <c r="C12" s="8"/>
      <c r="D12" s="8">
        <v>20</v>
      </c>
      <c r="E12" s="8"/>
    </row>
    <row r="13" customHeight="1" spans="1:5">
      <c r="A13" s="8"/>
      <c r="B13" s="8"/>
      <c r="C13" s="8"/>
      <c r="D13" s="8"/>
      <c r="E13" s="8"/>
    </row>
    <row r="14" customHeight="1" spans="1:5">
      <c r="A14" s="8" t="s">
        <v>490</v>
      </c>
      <c r="B14" s="8" t="s">
        <v>18</v>
      </c>
      <c r="C14" s="8"/>
      <c r="D14" s="8">
        <v>7</v>
      </c>
      <c r="E14" s="8"/>
    </row>
    <row r="15" customHeight="1" spans="1:5">
      <c r="A15" s="8"/>
      <c r="B15" s="8" t="s">
        <v>491</v>
      </c>
      <c r="C15" s="8"/>
      <c r="D15" s="8">
        <v>13.9</v>
      </c>
      <c r="E15" s="8"/>
    </row>
    <row r="16" customHeight="1" spans="1:5">
      <c r="A16" s="8"/>
      <c r="B16" s="8" t="s">
        <v>36</v>
      </c>
      <c r="C16" s="8"/>
      <c r="D16" s="8">
        <v>4</v>
      </c>
      <c r="E16" s="8" t="s">
        <v>475</v>
      </c>
    </row>
    <row r="17" customHeight="1" spans="1:5">
      <c r="A17" s="8" t="s">
        <v>492</v>
      </c>
      <c r="B17" s="8" t="s">
        <v>493</v>
      </c>
      <c r="C17" s="8"/>
      <c r="D17" s="8">
        <v>84.5</v>
      </c>
      <c r="E17" s="8"/>
    </row>
    <row r="18" customHeight="1" spans="1:5">
      <c r="A18" s="8"/>
      <c r="B18" s="8" t="s">
        <v>494</v>
      </c>
      <c r="C18" s="8"/>
      <c r="D18" s="8">
        <v>57.1</v>
      </c>
      <c r="E18" s="8"/>
    </row>
    <row r="19" customHeight="1" spans="1:5">
      <c r="A19" s="8" t="s">
        <v>495</v>
      </c>
      <c r="B19" s="8" t="s">
        <v>496</v>
      </c>
      <c r="C19" s="8"/>
      <c r="D19" s="8">
        <v>69</v>
      </c>
      <c r="E19" s="8"/>
    </row>
    <row r="20" customHeight="1" spans="1:5">
      <c r="A20" s="8"/>
      <c r="B20" s="8" t="s">
        <v>496</v>
      </c>
      <c r="C20" s="8"/>
      <c r="D20" s="8">
        <v>69</v>
      </c>
      <c r="E20" s="8"/>
    </row>
    <row r="21" customHeight="1" spans="1:5">
      <c r="A21" s="8"/>
      <c r="B21" s="8" t="s">
        <v>497</v>
      </c>
      <c r="C21" s="8"/>
      <c r="D21" s="8"/>
      <c r="E21" s="8"/>
    </row>
    <row r="22" customHeight="1" spans="1:5">
      <c r="A22" s="8" t="s">
        <v>498</v>
      </c>
      <c r="B22" s="8" t="s">
        <v>167</v>
      </c>
      <c r="C22" s="8"/>
      <c r="D22" s="8">
        <v>190.86</v>
      </c>
      <c r="E22" s="8" t="s">
        <v>499</v>
      </c>
    </row>
    <row r="23" customHeight="1" spans="1:5">
      <c r="A23" s="8"/>
      <c r="B23" s="8" t="s">
        <v>167</v>
      </c>
      <c r="C23" s="8"/>
      <c r="D23" s="8">
        <v>249.9</v>
      </c>
      <c r="E23" s="8"/>
    </row>
    <row r="24" customHeight="1" spans="1:5">
      <c r="A24" s="8" t="s">
        <v>500</v>
      </c>
      <c r="B24" s="8" t="s">
        <v>25</v>
      </c>
      <c r="C24" s="8"/>
      <c r="D24" s="8">
        <v>20</v>
      </c>
      <c r="E24" s="8"/>
    </row>
    <row r="25" customHeight="1" spans="1:5">
      <c r="A25" s="8"/>
      <c r="B25" s="8"/>
      <c r="C25" s="8"/>
      <c r="D25" s="8"/>
      <c r="E25" s="8"/>
    </row>
    <row r="26" customHeight="1" spans="1:5">
      <c r="A26" s="8" t="s">
        <v>501</v>
      </c>
      <c r="B26" s="8" t="s">
        <v>18</v>
      </c>
      <c r="C26" s="8"/>
      <c r="D26" s="8">
        <v>7</v>
      </c>
      <c r="E26" s="8"/>
    </row>
    <row r="27" customHeight="1" spans="1:5">
      <c r="A27" s="8"/>
      <c r="B27" s="8" t="s">
        <v>502</v>
      </c>
      <c r="C27" s="8"/>
      <c r="D27" s="8">
        <v>38.86</v>
      </c>
      <c r="E27" s="8"/>
    </row>
    <row r="28" customHeight="1" spans="1:5">
      <c r="A28" s="8"/>
      <c r="B28" s="8" t="s">
        <v>502</v>
      </c>
      <c r="C28" s="8"/>
      <c r="D28" s="8">
        <v>39</v>
      </c>
      <c r="E28" s="8"/>
    </row>
    <row r="29" customHeight="1" spans="1:5">
      <c r="A29" s="8"/>
      <c r="B29" s="8" t="s">
        <v>272</v>
      </c>
      <c r="C29" s="8"/>
      <c r="D29" s="8">
        <f>79.99-64.99</f>
        <v>15</v>
      </c>
      <c r="E29" s="8" t="s">
        <v>503</v>
      </c>
    </row>
    <row r="30" customHeight="1" spans="1:5">
      <c r="A30" s="8" t="s">
        <v>504</v>
      </c>
      <c r="B30" s="8" t="s">
        <v>18</v>
      </c>
      <c r="C30" s="8"/>
      <c r="D30" s="8">
        <v>7</v>
      </c>
      <c r="E30" s="8"/>
    </row>
    <row r="31" customHeight="1" spans="1:5">
      <c r="A31" s="8"/>
      <c r="B31" s="8" t="s">
        <v>505</v>
      </c>
      <c r="C31" s="8"/>
      <c r="D31" s="8">
        <v>19.37</v>
      </c>
      <c r="E31" s="8" t="s">
        <v>136</v>
      </c>
    </row>
    <row r="32" customHeight="1" spans="1:5">
      <c r="A32" s="8"/>
      <c r="B32" s="8" t="s">
        <v>272</v>
      </c>
      <c r="C32" s="8"/>
      <c r="D32" s="8">
        <f>49.99-40.62</f>
        <v>9.37</v>
      </c>
      <c r="E32" s="8" t="s">
        <v>506</v>
      </c>
    </row>
    <row r="33" customHeight="1" spans="1:5">
      <c r="A33" s="8"/>
      <c r="B33" s="8" t="s">
        <v>507</v>
      </c>
      <c r="C33" s="8"/>
      <c r="D33" s="8">
        <v>13.6</v>
      </c>
      <c r="E33" s="8"/>
    </row>
    <row r="34" customHeight="1" spans="1:5">
      <c r="A34" s="8" t="s">
        <v>508</v>
      </c>
      <c r="B34" s="8" t="s">
        <v>36</v>
      </c>
      <c r="C34" s="8"/>
      <c r="D34" s="8">
        <v>50</v>
      </c>
      <c r="E34" s="8"/>
    </row>
    <row r="35" customHeight="1" spans="1:5">
      <c r="A35" s="8"/>
      <c r="B35" s="8" t="s">
        <v>18</v>
      </c>
      <c r="C35" s="8"/>
      <c r="D35" s="8">
        <v>7</v>
      </c>
      <c r="E35" s="8"/>
    </row>
    <row r="36" customHeight="1" spans="1:5">
      <c r="A36" s="8" t="s">
        <v>509</v>
      </c>
      <c r="B36" s="8"/>
      <c r="C36" s="8"/>
      <c r="D36" s="8"/>
      <c r="E36" s="8"/>
    </row>
    <row r="37" customHeight="1" spans="1:5">
      <c r="A37" s="8"/>
      <c r="B37" s="8"/>
      <c r="C37" s="8"/>
      <c r="D37" s="8"/>
      <c r="E37" s="8"/>
    </row>
    <row r="38" customHeight="1" spans="1:5">
      <c r="A38" s="8" t="s">
        <v>510</v>
      </c>
      <c r="B38" s="8" t="s">
        <v>511</v>
      </c>
      <c r="C38" s="8"/>
      <c r="D38" s="8">
        <v>636</v>
      </c>
      <c r="E38" s="8" t="s">
        <v>512</v>
      </c>
    </row>
    <row r="39" customHeight="1" spans="1:5">
      <c r="A39" s="8"/>
      <c r="B39" s="8" t="s">
        <v>513</v>
      </c>
      <c r="C39" s="8"/>
      <c r="D39" s="8">
        <v>395</v>
      </c>
      <c r="E39" s="8"/>
    </row>
    <row r="40" customHeight="1" spans="1:5">
      <c r="A40" s="8"/>
      <c r="B40" s="8" t="s">
        <v>514</v>
      </c>
      <c r="C40" s="8"/>
      <c r="D40" s="8">
        <v>638</v>
      </c>
      <c r="E40" s="8"/>
    </row>
    <row r="41" customHeight="1" spans="1:5">
      <c r="A41" s="8"/>
      <c r="B41" s="8" t="s">
        <v>515</v>
      </c>
      <c r="C41" s="8"/>
      <c r="D41" s="8">
        <v>2580</v>
      </c>
      <c r="E41" s="8"/>
    </row>
    <row r="42" customHeight="1" spans="1:5">
      <c r="A42" s="8"/>
      <c r="B42" s="8" t="s">
        <v>516</v>
      </c>
      <c r="C42" s="8"/>
      <c r="D42" s="8">
        <v>1299</v>
      </c>
      <c r="E42" s="8"/>
    </row>
    <row r="43" customHeight="1" spans="1:5">
      <c r="A43" s="8"/>
      <c r="B43" s="8" t="s">
        <v>517</v>
      </c>
      <c r="C43" s="8"/>
      <c r="D43" s="8">
        <v>357.77</v>
      </c>
      <c r="E43" s="8"/>
    </row>
    <row r="44" customHeight="1" spans="1:5">
      <c r="A44" s="8" t="s">
        <v>518</v>
      </c>
      <c r="B44" s="8" t="s">
        <v>18</v>
      </c>
      <c r="C44" s="8"/>
      <c r="D44" s="8">
        <v>7</v>
      </c>
      <c r="E44" s="8"/>
    </row>
    <row r="45" customHeight="1" spans="1:5">
      <c r="A45" s="8"/>
      <c r="B45" s="8"/>
      <c r="C45" s="8"/>
      <c r="D45" s="8"/>
      <c r="E45" s="8"/>
    </row>
    <row r="46" customHeight="1" spans="1:5">
      <c r="A46" s="8" t="s">
        <v>519</v>
      </c>
      <c r="B46" s="8" t="s">
        <v>18</v>
      </c>
      <c r="C46" s="8"/>
      <c r="D46" s="8">
        <v>7</v>
      </c>
      <c r="E46" s="8"/>
    </row>
    <row r="47" customHeight="1" spans="1:5">
      <c r="A47" s="8"/>
      <c r="B47" s="8" t="s">
        <v>520</v>
      </c>
      <c r="C47" s="8"/>
      <c r="D47" s="8">
        <f>7684.22-1045</f>
        <v>6639.22</v>
      </c>
      <c r="E47" s="8" t="s">
        <v>521</v>
      </c>
    </row>
    <row r="48" customHeight="1" spans="1:5">
      <c r="A48" s="8"/>
      <c r="B48" s="8"/>
      <c r="C48" s="8"/>
      <c r="D48" s="8"/>
      <c r="E48" s="8"/>
    </row>
    <row r="49" customHeight="1" spans="1:5">
      <c r="A49" s="8" t="s">
        <v>522</v>
      </c>
      <c r="B49" s="8" t="s">
        <v>36</v>
      </c>
      <c r="C49" s="8"/>
      <c r="D49" s="8">
        <v>25</v>
      </c>
      <c r="E49" s="8"/>
    </row>
    <row r="50" customHeight="1" spans="1:5">
      <c r="A50" s="8"/>
      <c r="B50" s="8" t="s">
        <v>18</v>
      </c>
      <c r="C50" s="8"/>
      <c r="D50" s="8">
        <v>7</v>
      </c>
      <c r="E50" s="8"/>
    </row>
    <row r="51" customHeight="1" spans="1:5">
      <c r="A51" s="8"/>
      <c r="B51" s="8" t="s">
        <v>22</v>
      </c>
      <c r="C51" s="8"/>
      <c r="D51" s="8">
        <v>44.6</v>
      </c>
      <c r="E51" s="8"/>
    </row>
    <row r="52" customHeight="1" spans="1:5">
      <c r="A52" s="8" t="s">
        <v>523</v>
      </c>
      <c r="B52" s="8" t="s">
        <v>36</v>
      </c>
      <c r="C52" s="8"/>
      <c r="D52" s="8">
        <v>5</v>
      </c>
      <c r="E52" s="8"/>
    </row>
    <row r="53" customHeight="1" spans="1:5">
      <c r="A53" s="8"/>
      <c r="B53" s="8" t="s">
        <v>18</v>
      </c>
      <c r="C53" s="8"/>
      <c r="D53" s="8">
        <v>7</v>
      </c>
      <c r="E53" s="8"/>
    </row>
    <row r="54" customHeight="1" spans="1:5">
      <c r="A54" s="8"/>
      <c r="B54" s="8" t="s">
        <v>36</v>
      </c>
      <c r="C54" s="8"/>
      <c r="D54" s="8">
        <v>23</v>
      </c>
      <c r="E54" s="8"/>
    </row>
    <row r="55" customHeight="1" spans="1:5">
      <c r="A55" s="8"/>
      <c r="B55" s="8" t="s">
        <v>524</v>
      </c>
      <c r="C55" s="8"/>
      <c r="D55" s="8">
        <v>26.75</v>
      </c>
      <c r="E55" s="8"/>
    </row>
    <row r="56" customHeight="1" spans="1:5">
      <c r="A56" s="8"/>
      <c r="B56" s="8" t="s">
        <v>295</v>
      </c>
      <c r="C56" s="8"/>
      <c r="D56" s="8">
        <v>7.5</v>
      </c>
      <c r="E56" s="8"/>
    </row>
    <row r="57" customHeight="1" spans="1:5">
      <c r="A57" s="9" t="s">
        <v>525</v>
      </c>
      <c r="B57" s="8" t="s">
        <v>526</v>
      </c>
      <c r="C57" s="8"/>
      <c r="D57" s="8">
        <v>169.1</v>
      </c>
      <c r="E57" s="8"/>
    </row>
    <row r="58" customHeight="1" spans="1:5">
      <c r="A58" s="9"/>
      <c r="B58" s="8" t="s">
        <v>527</v>
      </c>
      <c r="C58" s="8"/>
      <c r="D58" s="8">
        <v>513.8</v>
      </c>
      <c r="E58" s="8"/>
    </row>
    <row r="59" customHeight="1" spans="1:5">
      <c r="A59" s="9"/>
      <c r="B59" s="8" t="s">
        <v>528</v>
      </c>
      <c r="C59" s="8"/>
      <c r="D59" s="8">
        <v>665</v>
      </c>
      <c r="E59" s="8"/>
    </row>
    <row r="60" customHeight="1" spans="1:5">
      <c r="A60" s="9"/>
      <c r="B60" s="8" t="s">
        <v>529</v>
      </c>
      <c r="C60" s="8"/>
      <c r="D60" s="8">
        <v>3639</v>
      </c>
      <c r="E60" s="8"/>
    </row>
    <row r="61" customHeight="1" spans="1:5">
      <c r="A61" s="9"/>
      <c r="B61" s="8" t="s">
        <v>18</v>
      </c>
      <c r="C61" s="8"/>
      <c r="D61" s="8">
        <v>6</v>
      </c>
      <c r="E61" s="8"/>
    </row>
    <row r="62" customHeight="1" spans="1:5">
      <c r="A62" s="9"/>
      <c r="B62" s="8" t="s">
        <v>272</v>
      </c>
      <c r="C62" s="8"/>
      <c r="D62" s="8">
        <f>50-12.55</f>
        <v>37.45</v>
      </c>
      <c r="E62" s="8" t="s">
        <v>530</v>
      </c>
    </row>
    <row r="63" customHeight="1" spans="1:5">
      <c r="A63" s="9" t="s">
        <v>531</v>
      </c>
      <c r="B63" s="8" t="s">
        <v>25</v>
      </c>
      <c r="C63" s="8"/>
      <c r="D63" s="8">
        <v>20</v>
      </c>
      <c r="E63" s="8"/>
    </row>
    <row r="64" customHeight="1" spans="1:5">
      <c r="A64" s="9"/>
      <c r="B64" s="8" t="s">
        <v>532</v>
      </c>
      <c r="C64" s="8"/>
      <c r="D64" s="8">
        <v>400</v>
      </c>
      <c r="E64" s="8"/>
    </row>
    <row r="65" customHeight="1" spans="1:5">
      <c r="A65" s="9"/>
      <c r="B65" s="8" t="s">
        <v>533</v>
      </c>
      <c r="C65" s="8"/>
      <c r="D65" s="8">
        <f>261.5-261.5</f>
        <v>0</v>
      </c>
      <c r="E65" s="8" t="s">
        <v>534</v>
      </c>
    </row>
    <row r="66" customHeight="1" spans="1:5">
      <c r="A66" s="9" t="s">
        <v>535</v>
      </c>
      <c r="B66" s="8" t="s">
        <v>536</v>
      </c>
      <c r="C66" s="8"/>
      <c r="D66" s="8">
        <v>26.86</v>
      </c>
      <c r="E66" s="8"/>
    </row>
    <row r="67" customHeight="1" spans="1:5">
      <c r="A67" s="9"/>
      <c r="B67" s="8" t="s">
        <v>537</v>
      </c>
      <c r="C67" s="8"/>
      <c r="D67" s="8">
        <v>29.94</v>
      </c>
      <c r="E67" s="8"/>
    </row>
    <row r="68" customHeight="1" spans="1:5">
      <c r="A68" s="9"/>
      <c r="B68" s="8" t="s">
        <v>538</v>
      </c>
      <c r="C68" s="8"/>
      <c r="D68" s="8">
        <v>888</v>
      </c>
      <c r="E68" s="8" t="s">
        <v>539</v>
      </c>
    </row>
    <row r="69" customHeight="1" spans="1:5">
      <c r="A69" s="8" t="s">
        <v>540</v>
      </c>
      <c r="B69" s="8" t="s">
        <v>36</v>
      </c>
      <c r="C69" s="8"/>
      <c r="D69" s="8">
        <v>20</v>
      </c>
      <c r="E69" s="8"/>
    </row>
    <row r="70" customHeight="1" spans="1:5">
      <c r="A70" s="8"/>
      <c r="B70" s="8" t="s">
        <v>61</v>
      </c>
      <c r="C70" s="8"/>
      <c r="D70" s="8">
        <v>555</v>
      </c>
      <c r="E70" s="8" t="s">
        <v>541</v>
      </c>
    </row>
    <row r="71" customHeight="1" spans="1:5">
      <c r="A71" s="8"/>
      <c r="B71" s="8" t="s">
        <v>18</v>
      </c>
      <c r="C71" s="8"/>
      <c r="D71" s="8">
        <v>7</v>
      </c>
      <c r="E71" s="8"/>
    </row>
    <row r="72" customHeight="1" spans="1:5">
      <c r="A72" s="8" t="s">
        <v>542</v>
      </c>
      <c r="B72" s="8" t="s">
        <v>36</v>
      </c>
      <c r="C72" s="8"/>
      <c r="D72" s="8">
        <v>5</v>
      </c>
      <c r="E72" s="8"/>
    </row>
    <row r="73" customHeight="1" spans="1:5">
      <c r="A73" s="8"/>
      <c r="B73" s="8" t="s">
        <v>18</v>
      </c>
      <c r="C73" s="8"/>
      <c r="D73" s="8">
        <v>7</v>
      </c>
      <c r="E73" s="8"/>
    </row>
    <row r="74" customHeight="1" spans="1:5">
      <c r="A74" s="8" t="s">
        <v>543</v>
      </c>
      <c r="B74" s="8" t="s">
        <v>36</v>
      </c>
      <c r="C74" s="8"/>
      <c r="D74" s="8">
        <v>5</v>
      </c>
      <c r="E74" s="8"/>
    </row>
    <row r="75" customHeight="1" spans="1:5">
      <c r="A75" s="8"/>
      <c r="B75" s="8" t="s">
        <v>18</v>
      </c>
      <c r="C75" s="8"/>
      <c r="D75" s="8">
        <v>7</v>
      </c>
      <c r="E75" s="8"/>
    </row>
    <row r="76" customHeight="1" spans="1:5">
      <c r="A76" s="8" t="s">
        <v>544</v>
      </c>
      <c r="B76" s="8" t="s">
        <v>18</v>
      </c>
      <c r="C76" s="8"/>
      <c r="D76" s="8">
        <v>7</v>
      </c>
      <c r="E76" s="8"/>
    </row>
    <row r="77" customHeight="1" spans="1:5">
      <c r="A77" s="8"/>
      <c r="B77" s="8" t="s">
        <v>545</v>
      </c>
      <c r="C77" s="8"/>
      <c r="D77" s="8">
        <v>3.88</v>
      </c>
      <c r="E77" s="8"/>
    </row>
    <row r="78" customHeight="1" spans="1:5">
      <c r="A78" s="8" t="s">
        <v>546</v>
      </c>
      <c r="B78" s="8" t="s">
        <v>18</v>
      </c>
      <c r="C78" s="8"/>
      <c r="D78" s="8">
        <v>7</v>
      </c>
      <c r="E78" s="8"/>
    </row>
    <row r="79" customHeight="1" spans="1:5">
      <c r="A79" s="8"/>
      <c r="B79" s="8" t="s">
        <v>547</v>
      </c>
      <c r="C79" s="8"/>
      <c r="D79" s="8">
        <v>32.6</v>
      </c>
      <c r="E79" s="8"/>
    </row>
    <row r="80" customHeight="1" spans="1:5">
      <c r="A80" s="8"/>
      <c r="B80" s="8" t="s">
        <v>272</v>
      </c>
      <c r="C80" s="8"/>
      <c r="D80" s="8">
        <f>49.99-19.42</f>
        <v>30.57</v>
      </c>
      <c r="E80" s="8" t="s">
        <v>548</v>
      </c>
    </row>
    <row r="81" customHeight="1" spans="1:5">
      <c r="A81" s="8"/>
      <c r="B81" s="8" t="s">
        <v>74</v>
      </c>
      <c r="C81" s="8"/>
      <c r="D81" s="8">
        <v>15</v>
      </c>
      <c r="E81" s="8"/>
    </row>
    <row r="82" customHeight="1" spans="1:5">
      <c r="A82" s="8" t="s">
        <v>549</v>
      </c>
      <c r="B82" s="8"/>
      <c r="C82" s="8"/>
      <c r="D82" s="8"/>
      <c r="E82" s="8"/>
    </row>
    <row r="83" customHeight="1" spans="1:5">
      <c r="A83" s="8"/>
      <c r="B83" s="8"/>
      <c r="C83" s="8"/>
      <c r="D83" s="8"/>
      <c r="E83" s="8"/>
    </row>
    <row r="84" customHeight="1" spans="1:5">
      <c r="A84" s="8" t="s">
        <v>550</v>
      </c>
      <c r="B84" s="8"/>
      <c r="C84" s="8"/>
      <c r="D84" s="8"/>
      <c r="E84" s="8"/>
    </row>
    <row r="85" customHeight="1" spans="1:5">
      <c r="A85" s="8"/>
      <c r="B85" s="8"/>
      <c r="C85" s="8"/>
      <c r="D85" s="8"/>
      <c r="E85" s="8"/>
    </row>
    <row r="86" customHeight="1" spans="1:5">
      <c r="A86" s="8" t="s">
        <v>551</v>
      </c>
      <c r="B86" s="8" t="s">
        <v>36</v>
      </c>
      <c r="C86" s="8"/>
      <c r="D86" s="8">
        <v>25</v>
      </c>
      <c r="E86" s="8"/>
    </row>
    <row r="87" customHeight="1" spans="1:5">
      <c r="A87" s="8"/>
      <c r="B87" s="8" t="s">
        <v>18</v>
      </c>
      <c r="C87" s="8"/>
      <c r="D87" s="8">
        <v>7</v>
      </c>
      <c r="E87" s="8"/>
    </row>
    <row r="88" customHeight="1" spans="1:5">
      <c r="A88" s="8"/>
      <c r="B88" s="8" t="s">
        <v>552</v>
      </c>
      <c r="C88" s="8"/>
      <c r="D88" s="8">
        <v>20</v>
      </c>
      <c r="E88" s="8"/>
    </row>
    <row r="89" customHeight="1" spans="1:5">
      <c r="A89" s="8" t="s">
        <v>553</v>
      </c>
      <c r="B89" s="8" t="s">
        <v>18</v>
      </c>
      <c r="C89" s="8"/>
      <c r="D89" s="8">
        <v>7</v>
      </c>
      <c r="E89" s="8"/>
    </row>
    <row r="90" customHeight="1" spans="1:5">
      <c r="A90" s="8"/>
      <c r="B90" s="8" t="s">
        <v>502</v>
      </c>
      <c r="C90" s="8"/>
      <c r="D90" s="8">
        <v>78</v>
      </c>
      <c r="E90" s="8"/>
    </row>
    <row r="91" customHeight="1" spans="1:5">
      <c r="A91" s="8"/>
      <c r="B91" s="8" t="s">
        <v>272</v>
      </c>
      <c r="C91" s="8"/>
      <c r="D91" s="8">
        <v>10.56</v>
      </c>
      <c r="E91" s="8"/>
    </row>
    <row r="106" customHeight="1" spans="1:2">
      <c r="A106"/>
      <c r="B106"/>
    </row>
  </sheetData>
  <mergeCells count="30">
    <mergeCell ref="A2:A3"/>
    <mergeCell ref="A4:A7"/>
    <mergeCell ref="A8:A11"/>
    <mergeCell ref="A12:A13"/>
    <mergeCell ref="A14:A16"/>
    <mergeCell ref="A17:A18"/>
    <mergeCell ref="A19:A21"/>
    <mergeCell ref="A22:A23"/>
    <mergeCell ref="A24:A25"/>
    <mergeCell ref="A26:A29"/>
    <mergeCell ref="A30:A33"/>
    <mergeCell ref="A34:A35"/>
    <mergeCell ref="A36:A37"/>
    <mergeCell ref="A38:A43"/>
    <mergeCell ref="A44:A45"/>
    <mergeCell ref="A46:A48"/>
    <mergeCell ref="A49:A51"/>
    <mergeCell ref="A52:A56"/>
    <mergeCell ref="A57:A62"/>
    <mergeCell ref="A63:A65"/>
    <mergeCell ref="A66:A68"/>
    <mergeCell ref="A69:A71"/>
    <mergeCell ref="A72:A73"/>
    <mergeCell ref="A74:A75"/>
    <mergeCell ref="A76:A77"/>
    <mergeCell ref="A78:A81"/>
    <mergeCell ref="A82:A83"/>
    <mergeCell ref="A84:A85"/>
    <mergeCell ref="A86:A88"/>
    <mergeCell ref="A89:A91"/>
  </mergeCells>
  <conditionalFormatting sqref="C5">
    <cfRule type="cellIs" dxfId="0" priority="127" operator="equal">
      <formula>#REF!</formula>
    </cfRule>
    <cfRule type="cellIs" dxfId="1" priority="128" operator="equal">
      <formula>#REF!</formula>
    </cfRule>
    <cfRule type="cellIs" dxfId="2" priority="129" operator="equal">
      <formula>#REF!</formula>
    </cfRule>
    <cfRule type="cellIs" dxfId="3" priority="130" operator="equal">
      <formula>#REF!</formula>
    </cfRule>
    <cfRule type="cellIs" dxfId="3" priority="131" operator="equal">
      <formula>#REF!</formula>
    </cfRule>
    <cfRule type="cellIs" dxfId="3" priority="132" operator="equal">
      <formula>#REF!</formula>
    </cfRule>
    <cfRule type="cellIs" dxfId="3" priority="133" operator="equal">
      <formula>#REF!</formula>
    </cfRule>
    <cfRule type="cellIs" dxfId="3" priority="134" operator="equal">
      <formula>#REF!</formula>
    </cfRule>
    <cfRule type="cellIs" dxfId="4" priority="135" operator="equal">
      <formula>#REF!</formula>
    </cfRule>
  </conditionalFormatting>
  <conditionalFormatting sqref="C32">
    <cfRule type="cellIs" dxfId="0" priority="118" operator="equal">
      <formula>#REF!</formula>
    </cfRule>
    <cfRule type="cellIs" dxfId="1" priority="119" operator="equal">
      <formula>#REF!</formula>
    </cfRule>
    <cfRule type="cellIs" dxfId="2" priority="120" operator="equal">
      <formula>#REF!</formula>
    </cfRule>
    <cfRule type="cellIs" dxfId="3" priority="121" operator="equal">
      <formula>#REF!</formula>
    </cfRule>
    <cfRule type="cellIs" dxfId="3" priority="122" operator="equal">
      <formula>#REF!</formula>
    </cfRule>
    <cfRule type="cellIs" dxfId="3" priority="123" operator="equal">
      <formula>#REF!</formula>
    </cfRule>
    <cfRule type="cellIs" dxfId="3" priority="124" operator="equal">
      <formula>#REF!</formula>
    </cfRule>
    <cfRule type="cellIs" dxfId="3" priority="125" operator="equal">
      <formula>#REF!</formula>
    </cfRule>
    <cfRule type="cellIs" dxfId="4" priority="126" operator="equal">
      <formula>#REF!</formula>
    </cfRule>
  </conditionalFormatting>
  <conditionalFormatting sqref="C41">
    <cfRule type="cellIs" dxfId="0" priority="109" operator="equal">
      <formula>#REF!</formula>
    </cfRule>
    <cfRule type="cellIs" dxfId="1" priority="110" operator="equal">
      <formula>#REF!</formula>
    </cfRule>
    <cfRule type="cellIs" dxfId="2" priority="111" operator="equal">
      <formula>#REF!</formula>
    </cfRule>
    <cfRule type="cellIs" dxfId="3" priority="112" operator="equal">
      <formula>#REF!</formula>
    </cfRule>
    <cfRule type="cellIs" dxfId="3" priority="113" operator="equal">
      <formula>#REF!</formula>
    </cfRule>
    <cfRule type="cellIs" dxfId="3" priority="114" operator="equal">
      <formula>#REF!</formula>
    </cfRule>
    <cfRule type="cellIs" dxfId="3" priority="115" operator="equal">
      <formula>#REF!</formula>
    </cfRule>
    <cfRule type="cellIs" dxfId="3" priority="116" operator="equal">
      <formula>#REF!</formula>
    </cfRule>
    <cfRule type="cellIs" dxfId="4" priority="117" operator="equal">
      <formula>#REF!</formula>
    </cfRule>
  </conditionalFormatting>
  <conditionalFormatting sqref="C42">
    <cfRule type="cellIs" dxfId="0" priority="100" operator="equal">
      <formula>#REF!</formula>
    </cfRule>
    <cfRule type="cellIs" dxfId="1" priority="101" operator="equal">
      <formula>#REF!</formula>
    </cfRule>
    <cfRule type="cellIs" dxfId="2" priority="102" operator="equal">
      <formula>#REF!</formula>
    </cfRule>
    <cfRule type="cellIs" dxfId="3" priority="103" operator="equal">
      <formula>#REF!</formula>
    </cfRule>
    <cfRule type="cellIs" dxfId="3" priority="104" operator="equal">
      <formula>#REF!</formula>
    </cfRule>
    <cfRule type="cellIs" dxfId="3" priority="105" operator="equal">
      <formula>#REF!</formula>
    </cfRule>
    <cfRule type="cellIs" dxfId="3" priority="106" operator="equal">
      <formula>#REF!</formula>
    </cfRule>
    <cfRule type="cellIs" dxfId="3" priority="107" operator="equal">
      <formula>#REF!</formula>
    </cfRule>
    <cfRule type="cellIs" dxfId="4" priority="108" operator="equal">
      <formula>#REF!</formula>
    </cfRule>
  </conditionalFormatting>
  <conditionalFormatting sqref="C50">
    <cfRule type="cellIs" dxfId="0" priority="91" operator="equal">
      <formula>#REF!</formula>
    </cfRule>
    <cfRule type="cellIs" dxfId="1" priority="92" operator="equal">
      <formula>#REF!</formula>
    </cfRule>
    <cfRule type="cellIs" dxfId="2" priority="93" operator="equal">
      <formula>#REF!</formula>
    </cfRule>
    <cfRule type="cellIs" dxfId="3" priority="94" operator="equal">
      <formula>#REF!</formula>
    </cfRule>
    <cfRule type="cellIs" dxfId="3" priority="95" operator="equal">
      <formula>#REF!</formula>
    </cfRule>
    <cfRule type="cellIs" dxfId="3" priority="96" operator="equal">
      <formula>#REF!</formula>
    </cfRule>
    <cfRule type="cellIs" dxfId="3" priority="97" operator="equal">
      <formula>#REF!</formula>
    </cfRule>
    <cfRule type="cellIs" dxfId="3" priority="98" operator="equal">
      <formula>#REF!</formula>
    </cfRule>
    <cfRule type="cellIs" dxfId="4" priority="99" operator="equal">
      <formula>#REF!</formula>
    </cfRule>
  </conditionalFormatting>
  <conditionalFormatting sqref="C52">
    <cfRule type="cellIs" dxfId="0" priority="82" operator="equal">
      <formula>#REF!</formula>
    </cfRule>
    <cfRule type="cellIs" dxfId="1" priority="83" operator="equal">
      <formula>#REF!</formula>
    </cfRule>
    <cfRule type="cellIs" dxfId="2" priority="84" operator="equal">
      <formula>#REF!</formula>
    </cfRule>
    <cfRule type="cellIs" dxfId="3" priority="85" operator="equal">
      <formula>#REF!</formula>
    </cfRule>
    <cfRule type="cellIs" dxfId="3" priority="86" operator="equal">
      <formula>#REF!</formula>
    </cfRule>
    <cfRule type="cellIs" dxfId="3" priority="87" operator="equal">
      <formula>#REF!</formula>
    </cfRule>
    <cfRule type="cellIs" dxfId="3" priority="88" operator="equal">
      <formula>#REF!</formula>
    </cfRule>
    <cfRule type="cellIs" dxfId="3" priority="89" operator="equal">
      <formula>#REF!</formula>
    </cfRule>
    <cfRule type="cellIs" dxfId="4" priority="90" operator="equal">
      <formula>#REF!</formula>
    </cfRule>
  </conditionalFormatting>
  <conditionalFormatting sqref="C54">
    <cfRule type="cellIs" dxfId="0" priority="55" operator="equal">
      <formula>#REF!</formula>
    </cfRule>
    <cfRule type="cellIs" dxfId="1" priority="56" operator="equal">
      <formula>#REF!</formula>
    </cfRule>
    <cfRule type="cellIs" dxfId="2" priority="57" operator="equal">
      <formula>#REF!</formula>
    </cfRule>
    <cfRule type="cellIs" dxfId="3" priority="58" operator="equal">
      <formula>#REF!</formula>
    </cfRule>
    <cfRule type="cellIs" dxfId="3" priority="59" operator="equal">
      <formula>#REF!</formula>
    </cfRule>
    <cfRule type="cellIs" dxfId="3" priority="60" operator="equal">
      <formula>#REF!</formula>
    </cfRule>
    <cfRule type="cellIs" dxfId="3" priority="61" operator="equal">
      <formula>#REF!</formula>
    </cfRule>
    <cfRule type="cellIs" dxfId="3" priority="62" operator="equal">
      <formula>#REF!</formula>
    </cfRule>
    <cfRule type="cellIs" dxfId="4" priority="63" operator="equal">
      <formula>#REF!</formula>
    </cfRule>
  </conditionalFormatting>
  <conditionalFormatting sqref="C56">
    <cfRule type="cellIs" dxfId="0" priority="64" operator="equal">
      <formula>#REF!</formula>
    </cfRule>
    <cfRule type="cellIs" dxfId="1" priority="65" operator="equal">
      <formula>#REF!</formula>
    </cfRule>
    <cfRule type="cellIs" dxfId="2" priority="66" operator="equal">
      <formula>#REF!</formula>
    </cfRule>
    <cfRule type="cellIs" dxfId="3" priority="67" operator="equal">
      <formula>#REF!</formula>
    </cfRule>
    <cfRule type="cellIs" dxfId="3" priority="68" operator="equal">
      <formula>#REF!</formula>
    </cfRule>
    <cfRule type="cellIs" dxfId="3" priority="69" operator="equal">
      <formula>#REF!</formula>
    </cfRule>
    <cfRule type="cellIs" dxfId="3" priority="70" operator="equal">
      <formula>#REF!</formula>
    </cfRule>
    <cfRule type="cellIs" dxfId="3" priority="71" operator="equal">
      <formula>#REF!</formula>
    </cfRule>
    <cfRule type="cellIs" dxfId="4" priority="72" operator="equal">
      <formula>#REF!</formula>
    </cfRule>
  </conditionalFormatting>
  <conditionalFormatting sqref="C64">
    <cfRule type="cellIs" dxfId="0" priority="1" operator="equal">
      <formula>#REF!</formula>
    </cfRule>
    <cfRule type="cellIs" dxfId="1" priority="2" operator="equal">
      <formula>#REF!</formula>
    </cfRule>
    <cfRule type="cellIs" dxfId="2" priority="3" operator="equal">
      <formula>#REF!</formula>
    </cfRule>
    <cfRule type="cellIs" dxfId="3" priority="4" operator="equal">
      <formula>#REF!</formula>
    </cfRule>
    <cfRule type="cellIs" dxfId="3" priority="5" operator="equal">
      <formula>#REF!</formula>
    </cfRule>
    <cfRule type="cellIs" dxfId="3" priority="6" operator="equal">
      <formula>#REF!</formula>
    </cfRule>
    <cfRule type="cellIs" dxfId="3" priority="7" operator="equal">
      <formula>#REF!</formula>
    </cfRule>
    <cfRule type="cellIs" dxfId="3" priority="8" operator="equal">
      <formula>#REF!</formula>
    </cfRule>
    <cfRule type="cellIs" dxfId="4" priority="9" operator="equal">
      <formula>#REF!</formula>
    </cfRule>
  </conditionalFormatting>
  <conditionalFormatting sqref="C76">
    <cfRule type="cellIs" dxfId="0" priority="37" operator="equal">
      <formula>#REF!</formula>
    </cfRule>
    <cfRule type="cellIs" dxfId="1" priority="38" operator="equal">
      <formula>#REF!</formula>
    </cfRule>
    <cfRule type="cellIs" dxfId="2" priority="39" operator="equal">
      <formula>#REF!</formula>
    </cfRule>
    <cfRule type="cellIs" dxfId="3" priority="40" operator="equal">
      <formula>#REF!</formula>
    </cfRule>
    <cfRule type="cellIs" dxfId="3" priority="41" operator="equal">
      <formula>#REF!</formula>
    </cfRule>
    <cfRule type="cellIs" dxfId="3" priority="42" operator="equal">
      <formula>#REF!</formula>
    </cfRule>
    <cfRule type="cellIs" dxfId="3" priority="43" operator="equal">
      <formula>#REF!</formula>
    </cfRule>
    <cfRule type="cellIs" dxfId="3" priority="44" operator="equal">
      <formula>#REF!</formula>
    </cfRule>
    <cfRule type="cellIs" dxfId="4" priority="45" operator="equal">
      <formula>#REF!</formula>
    </cfRule>
  </conditionalFormatting>
  <conditionalFormatting sqref="C78">
    <cfRule type="cellIs" dxfId="0" priority="28" operator="equal">
      <formula>#REF!</formula>
    </cfRule>
    <cfRule type="cellIs" dxfId="1" priority="29" operator="equal">
      <formula>#REF!</formula>
    </cfRule>
    <cfRule type="cellIs" dxfId="2" priority="30" operator="equal">
      <formula>#REF!</formula>
    </cfRule>
    <cfRule type="cellIs" dxfId="3" priority="31" operator="equal">
      <formula>#REF!</formula>
    </cfRule>
    <cfRule type="cellIs" dxfId="3" priority="32" operator="equal">
      <formula>#REF!</formula>
    </cfRule>
    <cfRule type="cellIs" dxfId="3" priority="33" operator="equal">
      <formula>#REF!</formula>
    </cfRule>
    <cfRule type="cellIs" dxfId="3" priority="34" operator="equal">
      <formula>#REF!</formula>
    </cfRule>
    <cfRule type="cellIs" dxfId="3" priority="35" operator="equal">
      <formula>#REF!</formula>
    </cfRule>
    <cfRule type="cellIs" dxfId="4" priority="36" operator="equal">
      <formula>#REF!</formula>
    </cfRule>
  </conditionalFormatting>
  <conditionalFormatting sqref="C88">
    <cfRule type="cellIs" dxfId="0" priority="172" operator="equal">
      <formula>#REF!</formula>
    </cfRule>
    <cfRule type="cellIs" dxfId="1" priority="175" operator="equal">
      <formula>#REF!</formula>
    </cfRule>
    <cfRule type="cellIs" dxfId="2" priority="178" operator="equal">
      <formula>#REF!</formula>
    </cfRule>
    <cfRule type="cellIs" dxfId="3" priority="181" operator="equal">
      <formula>#REF!</formula>
    </cfRule>
    <cfRule type="cellIs" dxfId="3" priority="184" operator="equal">
      <formula>#REF!</formula>
    </cfRule>
    <cfRule type="cellIs" dxfId="3" priority="187" operator="equal">
      <formula>#REF!</formula>
    </cfRule>
    <cfRule type="cellIs" dxfId="3" priority="190" operator="equal">
      <formula>#REF!</formula>
    </cfRule>
    <cfRule type="cellIs" dxfId="3" priority="193" operator="equal">
      <formula>#REF!</formula>
    </cfRule>
    <cfRule type="cellIs" dxfId="4" priority="196" operator="equal">
      <formula>#REF!</formula>
    </cfRule>
  </conditionalFormatting>
  <conditionalFormatting sqref="C26:C28">
    <cfRule type="cellIs" dxfId="0" priority="163" operator="equal">
      <formula>#REF!</formula>
    </cfRule>
    <cfRule type="cellIs" dxfId="1" priority="164" operator="equal">
      <formula>#REF!</formula>
    </cfRule>
    <cfRule type="cellIs" dxfId="2" priority="165" operator="equal">
      <formula>#REF!</formula>
    </cfRule>
    <cfRule type="cellIs" dxfId="3" priority="166" operator="equal">
      <formula>#REF!</formula>
    </cfRule>
    <cfRule type="cellIs" dxfId="3" priority="167" operator="equal">
      <formula>#REF!</formula>
    </cfRule>
    <cfRule type="cellIs" dxfId="3" priority="168" operator="equal">
      <formula>#REF!</formula>
    </cfRule>
    <cfRule type="cellIs" dxfId="3" priority="169" operator="equal">
      <formula>#REF!</formula>
    </cfRule>
    <cfRule type="cellIs" dxfId="3" priority="170" operator="equal">
      <formula>#REF!</formula>
    </cfRule>
    <cfRule type="cellIs" dxfId="4" priority="171" operator="equal">
      <formula>#REF!</formula>
    </cfRule>
  </conditionalFormatting>
  <conditionalFormatting sqref="C30:C31">
    <cfRule type="cellIs" dxfId="0" priority="154" operator="equal">
      <formula>#REF!</formula>
    </cfRule>
    <cfRule type="cellIs" dxfId="1" priority="155" operator="equal">
      <formula>#REF!</formula>
    </cfRule>
    <cfRule type="cellIs" dxfId="2" priority="156" operator="equal">
      <formula>#REF!</formula>
    </cfRule>
    <cfRule type="cellIs" dxfId="3" priority="157" operator="equal">
      <formula>#REF!</formula>
    </cfRule>
    <cfRule type="cellIs" dxfId="3" priority="158" operator="equal">
      <formula>#REF!</formula>
    </cfRule>
    <cfRule type="cellIs" dxfId="3" priority="159" operator="equal">
      <formula>#REF!</formula>
    </cfRule>
    <cfRule type="cellIs" dxfId="3" priority="160" operator="equal">
      <formula>#REF!</formula>
    </cfRule>
    <cfRule type="cellIs" dxfId="3" priority="161" operator="equal">
      <formula>#REF!</formula>
    </cfRule>
    <cfRule type="cellIs" dxfId="4" priority="162" operator="equal">
      <formula>#REF!</formula>
    </cfRule>
  </conditionalFormatting>
  <conditionalFormatting sqref="C34:C35">
    <cfRule type="cellIs" dxfId="0" priority="145" operator="equal">
      <formula>#REF!</formula>
    </cfRule>
    <cfRule type="cellIs" dxfId="1" priority="146" operator="equal">
      <formula>#REF!</formula>
    </cfRule>
    <cfRule type="cellIs" dxfId="2" priority="147" operator="equal">
      <formula>#REF!</formula>
    </cfRule>
    <cfRule type="cellIs" dxfId="3" priority="148" operator="equal">
      <formula>#REF!</formula>
    </cfRule>
    <cfRule type="cellIs" dxfId="3" priority="149" operator="equal">
      <formula>#REF!</formula>
    </cfRule>
    <cfRule type="cellIs" dxfId="3" priority="150" operator="equal">
      <formula>#REF!</formula>
    </cfRule>
    <cfRule type="cellIs" dxfId="3" priority="151" operator="equal">
      <formula>#REF!</formula>
    </cfRule>
    <cfRule type="cellIs" dxfId="3" priority="152" operator="equal">
      <formula>#REF!</formula>
    </cfRule>
    <cfRule type="cellIs" dxfId="4" priority="153" operator="equal">
      <formula>#REF!</formula>
    </cfRule>
  </conditionalFormatting>
  <conditionalFormatting sqref="C46:C47">
    <cfRule type="cellIs" dxfId="0" priority="136" operator="equal">
      <formula>#REF!</formula>
    </cfRule>
    <cfRule type="cellIs" dxfId="1" priority="137" operator="equal">
      <formula>#REF!</formula>
    </cfRule>
    <cfRule type="cellIs" dxfId="2" priority="138" operator="equal">
      <formula>#REF!</formula>
    </cfRule>
    <cfRule type="cellIs" dxfId="3" priority="139" operator="equal">
      <formula>#REF!</formula>
    </cfRule>
    <cfRule type="cellIs" dxfId="3" priority="140" operator="equal">
      <formula>#REF!</formula>
    </cfRule>
    <cfRule type="cellIs" dxfId="3" priority="141" operator="equal">
      <formula>#REF!</formula>
    </cfRule>
    <cfRule type="cellIs" dxfId="3" priority="142" operator="equal">
      <formula>#REF!</formula>
    </cfRule>
    <cfRule type="cellIs" dxfId="3" priority="143" operator="equal">
      <formula>#REF!</formula>
    </cfRule>
    <cfRule type="cellIs" dxfId="4" priority="144" operator="equal">
      <formula>#REF!</formula>
    </cfRule>
  </conditionalFormatting>
  <conditionalFormatting sqref="C74:C75">
    <cfRule type="cellIs" dxfId="0" priority="46" operator="equal">
      <formula>#REF!</formula>
    </cfRule>
    <cfRule type="cellIs" dxfId="1" priority="47" operator="equal">
      <formula>#REF!</formula>
    </cfRule>
    <cfRule type="cellIs" dxfId="2" priority="48" operator="equal">
      <formula>#REF!</formula>
    </cfRule>
    <cfRule type="cellIs" dxfId="3" priority="49" operator="equal">
      <formula>#REF!</formula>
    </cfRule>
    <cfRule type="cellIs" dxfId="3" priority="50" operator="equal">
      <formula>#REF!</formula>
    </cfRule>
    <cfRule type="cellIs" dxfId="3" priority="51" operator="equal">
      <formula>#REF!</formula>
    </cfRule>
    <cfRule type="cellIs" dxfId="3" priority="52" operator="equal">
      <formula>#REF!</formula>
    </cfRule>
    <cfRule type="cellIs" dxfId="3" priority="53" operator="equal">
      <formula>#REF!</formula>
    </cfRule>
    <cfRule type="cellIs" dxfId="4" priority="54" operator="equal">
      <formula>#REF!</formula>
    </cfRule>
  </conditionalFormatting>
  <conditionalFormatting sqref="C82:C83">
    <cfRule type="cellIs" dxfId="0" priority="174" operator="equal">
      <formula>#REF!</formula>
    </cfRule>
    <cfRule type="cellIs" dxfId="1" priority="177" operator="equal">
      <formula>#REF!</formula>
    </cfRule>
    <cfRule type="cellIs" dxfId="2" priority="180" operator="equal">
      <formula>#REF!</formula>
    </cfRule>
    <cfRule type="cellIs" dxfId="3" priority="183" operator="equal">
      <formula>#REF!</formula>
    </cfRule>
    <cfRule type="cellIs" dxfId="3" priority="186" operator="equal">
      <formula>#REF!</formula>
    </cfRule>
    <cfRule type="cellIs" dxfId="3" priority="189" operator="equal">
      <formula>#REF!</formula>
    </cfRule>
    <cfRule type="cellIs" dxfId="3" priority="192" operator="equal">
      <formula>#REF!</formula>
    </cfRule>
    <cfRule type="cellIs" dxfId="3" priority="195" operator="equal">
      <formula>#REF!</formula>
    </cfRule>
    <cfRule type="cellIs" dxfId="4" priority="198" operator="equal">
      <formula>#REF!</formula>
    </cfRule>
  </conditionalFormatting>
  <conditionalFormatting sqref="C84:C85">
    <cfRule type="cellIs" dxfId="0" priority="173" operator="equal">
      <formula>#REF!</formula>
    </cfRule>
    <cfRule type="cellIs" dxfId="1" priority="176" operator="equal">
      <formula>#REF!</formula>
    </cfRule>
    <cfRule type="cellIs" dxfId="2" priority="179" operator="equal">
      <formula>#REF!</formula>
    </cfRule>
    <cfRule type="cellIs" dxfId="3" priority="182" operator="equal">
      <formula>#REF!</formula>
    </cfRule>
    <cfRule type="cellIs" dxfId="3" priority="185" operator="equal">
      <formula>#REF!</formula>
    </cfRule>
    <cfRule type="cellIs" dxfId="3" priority="188" operator="equal">
      <formula>#REF!</formula>
    </cfRule>
    <cfRule type="cellIs" dxfId="3" priority="191" operator="equal">
      <formula>#REF!</formula>
    </cfRule>
    <cfRule type="cellIs" dxfId="3" priority="194" operator="equal">
      <formula>#REF!</formula>
    </cfRule>
    <cfRule type="cellIs" dxfId="4" priority="197" operator="equal">
      <formula>#REF!</formula>
    </cfRule>
  </conditionalFormatting>
  <conditionalFormatting sqref="C86:C87">
    <cfRule type="cellIs" dxfId="0" priority="19" operator="equal">
      <formula>#REF!</formula>
    </cfRule>
    <cfRule type="cellIs" dxfId="1" priority="20" operator="equal">
      <formula>#REF!</formula>
    </cfRule>
    <cfRule type="cellIs" dxfId="2" priority="21" operator="equal">
      <formula>#REF!</formula>
    </cfRule>
    <cfRule type="cellIs" dxfId="3" priority="22" operator="equal">
      <formula>#REF!</formula>
    </cfRule>
    <cfRule type="cellIs" dxfId="3" priority="23" operator="equal">
      <formula>#REF!</formula>
    </cfRule>
    <cfRule type="cellIs" dxfId="3" priority="24" operator="equal">
      <formula>#REF!</formula>
    </cfRule>
    <cfRule type="cellIs" dxfId="3" priority="25" operator="equal">
      <formula>#REF!</formula>
    </cfRule>
    <cfRule type="cellIs" dxfId="3" priority="26" operator="equal">
      <formula>#REF!</formula>
    </cfRule>
    <cfRule type="cellIs" dxfId="4" priority="27" operator="equal">
      <formula>#REF!</formula>
    </cfRule>
  </conditionalFormatting>
  <conditionalFormatting sqref="C89:C90">
    <cfRule type="cellIs" dxfId="0" priority="10" operator="equal">
      <formula>#REF!</formula>
    </cfRule>
    <cfRule type="cellIs" dxfId="1" priority="11" operator="equal">
      <formula>#REF!</formula>
    </cfRule>
    <cfRule type="cellIs" dxfId="2" priority="12" operator="equal">
      <formula>#REF!</formula>
    </cfRule>
    <cfRule type="cellIs" dxfId="3" priority="13" operator="equal">
      <formula>#REF!</formula>
    </cfRule>
    <cfRule type="cellIs" dxfId="3" priority="14" operator="equal">
      <formula>#REF!</formula>
    </cfRule>
    <cfRule type="cellIs" dxfId="3" priority="15" operator="equal">
      <formula>#REF!</formula>
    </cfRule>
    <cfRule type="cellIs" dxfId="3" priority="16" operator="equal">
      <formula>#REF!</formula>
    </cfRule>
    <cfRule type="cellIs" dxfId="3" priority="17" operator="equal">
      <formula>#REF!</formula>
    </cfRule>
    <cfRule type="cellIs" dxfId="4" priority="18" operator="equal">
      <formula>#REF!</formula>
    </cfRule>
  </conditionalFormatting>
  <conditionalFormatting sqref="C1:C4 C77 C79:C81 C91:C1048576 C6:C25 C29 C65:C73 C57:C63 C51 C48:C49 C43:C45 C36:C40 C33">
    <cfRule type="cellIs" dxfId="0" priority="199" operator="equal">
      <formula>#REF!</formula>
    </cfRule>
    <cfRule type="cellIs" dxfId="1" priority="200" operator="equal">
      <formula>#REF!</formula>
    </cfRule>
    <cfRule type="cellIs" dxfId="2" priority="201" operator="equal">
      <formula>#REF!</formula>
    </cfRule>
    <cfRule type="cellIs" dxfId="3" priority="202" operator="equal">
      <formula>#REF!</formula>
    </cfRule>
    <cfRule type="cellIs" dxfId="3" priority="203" operator="equal">
      <formula>#REF!</formula>
    </cfRule>
    <cfRule type="cellIs" dxfId="3" priority="204" operator="equal">
      <formula>#REF!</formula>
    </cfRule>
    <cfRule type="cellIs" dxfId="3" priority="205" operator="equal">
      <formula>#REF!</formula>
    </cfRule>
    <cfRule type="cellIs" dxfId="3" priority="206" operator="equal">
      <formula>#REF!</formula>
    </cfRule>
    <cfRule type="cellIs" dxfId="4" priority="207" operator="equal">
      <formula>#REF!</formula>
    </cfRule>
  </conditionalFormatting>
  <conditionalFormatting sqref="C53 C55">
    <cfRule type="cellIs" dxfId="0" priority="73" operator="equal">
      <formula>#REF!</formula>
    </cfRule>
    <cfRule type="cellIs" dxfId="1" priority="74" operator="equal">
      <formula>#REF!</formula>
    </cfRule>
    <cfRule type="cellIs" dxfId="2" priority="75" operator="equal">
      <formula>#REF!</formula>
    </cfRule>
    <cfRule type="cellIs" dxfId="3" priority="76" operator="equal">
      <formula>#REF!</formula>
    </cfRule>
    <cfRule type="cellIs" dxfId="3" priority="77" operator="equal">
      <formula>#REF!</formula>
    </cfRule>
    <cfRule type="cellIs" dxfId="3" priority="78" operator="equal">
      <formula>#REF!</formula>
    </cfRule>
    <cfRule type="cellIs" dxfId="3" priority="79" operator="equal">
      <formula>#REF!</formula>
    </cfRule>
    <cfRule type="cellIs" dxfId="3" priority="80" operator="equal">
      <formula>#REF!</formula>
    </cfRule>
    <cfRule type="cellIs" dxfId="4" priority="81" operator="equal">
      <formula>#REF!</formula>
    </cfRule>
  </conditionalFormatting>
  <dataValidations count="1">
    <dataValidation type="list" allowBlank="1" showInputMessage="1" showErrorMessage="1" sqref="C5 C6 C9 C10 C15 C26 C27 C28 C29 C30 C31 C32 C33 C39 C40 C41 C42 C46 C47 C50 C51 C52 C53 C54 C55 C56 C57 C58 C59 C60 C61 C64 C67 C70 C76 C77 C78 C79 C80 C81 C88 C89 C90 C91 C1:C4 C7:C8 C11:C14 C16:C18 C19:C20 C21:C25 C34:C35 C36:C38 C43:C45 C48:C49 C62:C63 C65:C66 C68:C69 C71:C73 C74:C75 C82:C85 C86:C87 C92:C111 C112:C1048576">
      <formula1>#REF!</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1"/>
  <sheetViews>
    <sheetView tabSelected="1" workbookViewId="0">
      <selection activeCell="G15" sqref="G15"/>
    </sheetView>
  </sheetViews>
  <sheetFormatPr defaultColWidth="9" defaultRowHeight="16.5" customHeight="1" outlineLevelCol="4"/>
  <cols>
    <col min="1" max="1" width="10.6666666666667" style="6" customWidth="1"/>
    <col min="2" max="3" width="13.5555555555556" style="6" customWidth="1"/>
    <col min="4" max="4" width="14.6666666666667" style="6" customWidth="1"/>
    <col min="5" max="5" width="34.4444444444444" style="6" customWidth="1"/>
    <col min="6" max="16384" width="9" style="6"/>
  </cols>
  <sheetData>
    <row r="1" customHeight="1" spans="1:5">
      <c r="A1" s="7" t="s">
        <v>0</v>
      </c>
      <c r="B1" s="7" t="s">
        <v>1</v>
      </c>
      <c r="C1" s="7" t="s">
        <v>2</v>
      </c>
      <c r="D1" s="7" t="s">
        <v>3</v>
      </c>
      <c r="E1" s="7" t="s">
        <v>4</v>
      </c>
    </row>
    <row r="2" customHeight="1" spans="1:5">
      <c r="A2" s="8" t="s">
        <v>554</v>
      </c>
      <c r="B2" s="8" t="s">
        <v>137</v>
      </c>
      <c r="C2" s="8"/>
      <c r="D2" s="8">
        <v>59.87</v>
      </c>
      <c r="E2" s="8"/>
    </row>
    <row r="3" customHeight="1" spans="1:5">
      <c r="A3" s="8"/>
      <c r="B3" s="8" t="s">
        <v>18</v>
      </c>
      <c r="C3" s="8"/>
      <c r="D3" s="8">
        <v>7</v>
      </c>
      <c r="E3" s="8"/>
    </row>
    <row r="4" customHeight="1" spans="1:5">
      <c r="A4" s="8"/>
      <c r="B4" s="8" t="s">
        <v>555</v>
      </c>
      <c r="C4" s="8"/>
      <c r="D4" s="8">
        <v>4.45</v>
      </c>
      <c r="E4" s="8"/>
    </row>
    <row r="5" customHeight="1" spans="1:5">
      <c r="A5" s="8"/>
      <c r="B5" s="8" t="s">
        <v>556</v>
      </c>
      <c r="C5" s="8"/>
      <c r="D5" s="8">
        <v>15.7</v>
      </c>
      <c r="E5" s="8"/>
    </row>
    <row r="6" customHeight="1" spans="1:5">
      <c r="A6" s="8"/>
      <c r="B6" s="8" t="s">
        <v>557</v>
      </c>
      <c r="C6" s="8"/>
      <c r="D6" s="8">
        <v>14.64</v>
      </c>
      <c r="E6" s="8"/>
    </row>
    <row r="7" customHeight="1" spans="1:5">
      <c r="A7" s="8"/>
      <c r="B7" s="8" t="s">
        <v>272</v>
      </c>
      <c r="C7" s="8"/>
      <c r="D7" s="8">
        <f>50-40.61</f>
        <v>9.39</v>
      </c>
      <c r="E7" s="8" t="s">
        <v>558</v>
      </c>
    </row>
    <row r="8" customHeight="1" spans="1:5">
      <c r="A8" s="8"/>
      <c r="B8" s="8" t="s">
        <v>559</v>
      </c>
      <c r="C8" s="8"/>
      <c r="D8" s="8">
        <v>65.8</v>
      </c>
      <c r="E8" s="8"/>
    </row>
    <row r="9" customHeight="1" spans="1:5">
      <c r="A9" s="8" t="s">
        <v>560</v>
      </c>
      <c r="B9" s="8" t="s">
        <v>18</v>
      </c>
      <c r="C9" s="8"/>
      <c r="D9" s="8">
        <v>7</v>
      </c>
      <c r="E9" s="8"/>
    </row>
    <row r="10" customHeight="1" spans="1:5">
      <c r="A10" s="8"/>
      <c r="B10" s="8"/>
      <c r="C10" s="8"/>
      <c r="D10" s="8"/>
      <c r="E10" s="8"/>
    </row>
    <row r="11" customHeight="1" spans="1:5">
      <c r="A11" s="8" t="s">
        <v>561</v>
      </c>
      <c r="B11" s="8" t="s">
        <v>18</v>
      </c>
      <c r="C11" s="8"/>
      <c r="D11" s="8">
        <v>7</v>
      </c>
      <c r="E11" s="8"/>
    </row>
    <row r="12" customHeight="1" spans="1:5">
      <c r="A12" s="8"/>
      <c r="B12" s="8" t="s">
        <v>562</v>
      </c>
      <c r="C12" s="8"/>
      <c r="D12" s="8">
        <v>17</v>
      </c>
      <c r="E12" s="8"/>
    </row>
    <row r="13" customHeight="1" spans="1:5">
      <c r="A13" s="8"/>
      <c r="B13" s="8" t="s">
        <v>272</v>
      </c>
      <c r="C13" s="8"/>
      <c r="D13" s="8">
        <f>50-24.28</f>
        <v>25.72</v>
      </c>
      <c r="E13" s="8" t="s">
        <v>563</v>
      </c>
    </row>
    <row r="14" customHeight="1" spans="1:5">
      <c r="A14" s="8"/>
      <c r="B14" s="8" t="s">
        <v>564</v>
      </c>
      <c r="C14" s="8"/>
      <c r="D14" s="8">
        <v>16.7</v>
      </c>
      <c r="E14" s="8"/>
    </row>
    <row r="15" customHeight="1" spans="1:5">
      <c r="A15" s="8" t="s">
        <v>565</v>
      </c>
      <c r="B15" s="8" t="s">
        <v>566</v>
      </c>
      <c r="C15" s="8"/>
      <c r="D15" s="8">
        <v>36.13</v>
      </c>
      <c r="E15" s="8"/>
    </row>
    <row r="16" customHeight="1" spans="1:5">
      <c r="A16" s="8"/>
      <c r="B16" s="8" t="s">
        <v>567</v>
      </c>
      <c r="C16" s="8"/>
      <c r="D16" s="8">
        <v>1.56</v>
      </c>
      <c r="E16" s="8"/>
    </row>
    <row r="17" customHeight="1" spans="1:5">
      <c r="A17" s="8" t="s">
        <v>568</v>
      </c>
      <c r="B17" s="8" t="s">
        <v>569</v>
      </c>
      <c r="C17" s="8"/>
      <c r="D17" s="8">
        <v>140</v>
      </c>
      <c r="E17" s="8"/>
    </row>
    <row r="18" customHeight="1" spans="1:5">
      <c r="A18" s="8"/>
      <c r="B18" s="8" t="s">
        <v>570</v>
      </c>
      <c r="C18" s="8"/>
      <c r="D18" s="8">
        <v>1</v>
      </c>
      <c r="E18" s="8"/>
    </row>
    <row r="19" customHeight="1" spans="1:5">
      <c r="A19" s="8" t="s">
        <v>571</v>
      </c>
      <c r="B19" s="8" t="s">
        <v>18</v>
      </c>
      <c r="C19" s="8"/>
      <c r="D19" s="8">
        <v>7</v>
      </c>
      <c r="E19" s="8"/>
    </row>
    <row r="20" customHeight="1" spans="1:5">
      <c r="A20" s="8"/>
      <c r="B20" s="8" t="s">
        <v>19</v>
      </c>
      <c r="C20" s="8"/>
      <c r="D20" s="8">
        <v>51</v>
      </c>
      <c r="E20" s="8"/>
    </row>
    <row r="21" customHeight="1" spans="1:5">
      <c r="A21" s="8"/>
      <c r="B21" s="8" t="s">
        <v>572</v>
      </c>
      <c r="C21" s="8"/>
      <c r="D21" s="8">
        <v>101.3</v>
      </c>
      <c r="E21" s="8"/>
    </row>
    <row r="22" customHeight="1" spans="1:5">
      <c r="A22" s="8"/>
      <c r="B22" s="8" t="s">
        <v>573</v>
      </c>
      <c r="C22" s="8"/>
      <c r="D22" s="8">
        <v>8000</v>
      </c>
      <c r="E22" s="8"/>
    </row>
    <row r="23" customHeight="1" spans="1:5">
      <c r="A23" s="8"/>
      <c r="B23" s="8" t="s">
        <v>574</v>
      </c>
      <c r="C23" s="8"/>
      <c r="D23" s="8">
        <v>74.9</v>
      </c>
      <c r="E23" s="8" t="s">
        <v>575</v>
      </c>
    </row>
    <row r="24" customHeight="1" spans="1:5">
      <c r="A24" s="8" t="s">
        <v>576</v>
      </c>
      <c r="B24" s="8" t="s">
        <v>36</v>
      </c>
      <c r="C24" s="8"/>
      <c r="D24" s="8">
        <v>40</v>
      </c>
      <c r="E24" s="8"/>
    </row>
    <row r="25" customHeight="1" spans="1:5">
      <c r="A25" s="8"/>
      <c r="B25" s="8" t="s">
        <v>18</v>
      </c>
      <c r="C25" s="8"/>
      <c r="D25" s="8">
        <v>7</v>
      </c>
      <c r="E25" s="8"/>
    </row>
    <row r="26" customHeight="1" spans="1:5">
      <c r="A26" s="8"/>
      <c r="B26" s="8" t="s">
        <v>482</v>
      </c>
      <c r="C26" s="8"/>
      <c r="D26" s="8">
        <v>29.63</v>
      </c>
      <c r="E26" s="8"/>
    </row>
    <row r="27" customHeight="1" spans="1:5">
      <c r="A27" s="8" t="s">
        <v>577</v>
      </c>
      <c r="B27" s="8" t="s">
        <v>36</v>
      </c>
      <c r="C27" s="8"/>
      <c r="D27" s="8">
        <v>5</v>
      </c>
      <c r="E27" s="8"/>
    </row>
    <row r="28" customHeight="1" spans="1:5">
      <c r="A28" s="8"/>
      <c r="B28" s="8" t="s">
        <v>18</v>
      </c>
      <c r="C28" s="8"/>
      <c r="D28" s="8">
        <v>7</v>
      </c>
      <c r="E28" s="8"/>
    </row>
    <row r="29" customHeight="1" spans="1:5">
      <c r="A29" s="8"/>
      <c r="B29" s="8" t="s">
        <v>578</v>
      </c>
      <c r="C29" s="8"/>
      <c r="D29" s="8">
        <f>1427-996.56</f>
        <v>430.44</v>
      </c>
      <c r="E29" s="8" t="s">
        <v>579</v>
      </c>
    </row>
    <row r="30" customHeight="1" spans="1:5">
      <c r="A30" s="8"/>
      <c r="B30" s="8" t="s">
        <v>580</v>
      </c>
      <c r="C30" s="8"/>
      <c r="D30" s="8">
        <v>4.32</v>
      </c>
      <c r="E30" s="8"/>
    </row>
    <row r="31" customHeight="1" spans="1:5">
      <c r="A31" s="8"/>
      <c r="B31" s="8" t="s">
        <v>27</v>
      </c>
      <c r="C31" s="8"/>
      <c r="D31" s="8">
        <v>200</v>
      </c>
      <c r="E31" s="8" t="s">
        <v>581</v>
      </c>
    </row>
    <row r="32" customHeight="1" spans="1:5">
      <c r="A32" s="8" t="s">
        <v>582</v>
      </c>
      <c r="B32" s="8" t="s">
        <v>583</v>
      </c>
      <c r="C32" s="8"/>
      <c r="D32" s="8">
        <v>310.8</v>
      </c>
      <c r="E32" s="8" t="s">
        <v>584</v>
      </c>
    </row>
    <row r="33" customHeight="1" spans="1:5">
      <c r="A33" s="8"/>
      <c r="B33" s="8" t="s">
        <v>36</v>
      </c>
      <c r="C33" s="8"/>
      <c r="D33" s="8">
        <v>5</v>
      </c>
      <c r="E33" s="8"/>
    </row>
    <row r="34" customHeight="1" spans="1:5">
      <c r="A34" s="8"/>
      <c r="B34" s="8" t="s">
        <v>18</v>
      </c>
      <c r="C34" s="8"/>
      <c r="D34" s="8">
        <v>7</v>
      </c>
      <c r="E34" s="8"/>
    </row>
    <row r="35" customHeight="1" spans="1:5">
      <c r="A35" s="8"/>
      <c r="B35" s="8" t="s">
        <v>482</v>
      </c>
      <c r="C35" s="8"/>
      <c r="D35" s="8">
        <v>50.72</v>
      </c>
      <c r="E35" s="8"/>
    </row>
    <row r="36" customHeight="1" spans="1:5">
      <c r="A36" s="8" t="s">
        <v>585</v>
      </c>
      <c r="B36" s="8" t="s">
        <v>36</v>
      </c>
      <c r="C36" s="8"/>
      <c r="D36" s="8">
        <v>5</v>
      </c>
      <c r="E36" s="8"/>
    </row>
    <row r="37" customHeight="1" spans="1:5">
      <c r="A37" s="8"/>
      <c r="B37" s="8" t="s">
        <v>18</v>
      </c>
      <c r="C37" s="8"/>
      <c r="D37" s="8">
        <v>7</v>
      </c>
      <c r="E37" s="8"/>
    </row>
    <row r="38" customHeight="1" spans="1:5">
      <c r="A38" s="8"/>
      <c r="B38" s="8" t="s">
        <v>33</v>
      </c>
      <c r="C38" s="8"/>
      <c r="D38" s="8">
        <v>49</v>
      </c>
      <c r="E38" s="8"/>
    </row>
    <row r="39" customHeight="1" spans="1:5">
      <c r="A39" s="8"/>
      <c r="B39" s="8" t="s">
        <v>252</v>
      </c>
      <c r="C39" s="8"/>
      <c r="D39" s="8">
        <v>6000</v>
      </c>
      <c r="E39" s="8"/>
    </row>
    <row r="40" customHeight="1" spans="1:5">
      <c r="A40" s="8" t="s">
        <v>586</v>
      </c>
      <c r="B40" s="8" t="s">
        <v>36</v>
      </c>
      <c r="C40" s="8"/>
      <c r="D40" s="8">
        <v>5</v>
      </c>
      <c r="E40" s="8"/>
    </row>
    <row r="41" customHeight="1" spans="1:5">
      <c r="A41" s="8"/>
      <c r="B41" s="8" t="s">
        <v>587</v>
      </c>
      <c r="C41" s="8"/>
      <c r="D41" s="8">
        <v>1.9</v>
      </c>
      <c r="E41" s="8"/>
    </row>
    <row r="42" customHeight="1" spans="1:5">
      <c r="A42" s="8"/>
      <c r="B42" s="8" t="s">
        <v>17</v>
      </c>
      <c r="C42" s="8"/>
      <c r="D42" s="8">
        <v>39.59</v>
      </c>
      <c r="E42" s="8"/>
    </row>
    <row r="43" customHeight="1" spans="1:5">
      <c r="A43" s="8"/>
      <c r="B43" s="8" t="s">
        <v>588</v>
      </c>
      <c r="C43" s="8"/>
      <c r="D43" s="8"/>
      <c r="E43" s="8" t="s">
        <v>589</v>
      </c>
    </row>
    <row r="44" customHeight="1" spans="1:5">
      <c r="A44" s="8" t="s">
        <v>590</v>
      </c>
      <c r="B44" s="8" t="s">
        <v>124</v>
      </c>
      <c r="C44" s="8"/>
      <c r="D44" s="8">
        <v>1</v>
      </c>
      <c r="E44" s="8" t="s">
        <v>591</v>
      </c>
    </row>
    <row r="45" customHeight="1" spans="1:5">
      <c r="A45" s="8"/>
      <c r="B45" s="8" t="s">
        <v>592</v>
      </c>
      <c r="C45" s="8"/>
      <c r="D45" s="8">
        <v>21.9</v>
      </c>
      <c r="E45" s="8"/>
    </row>
    <row r="46" customHeight="1" spans="1:5">
      <c r="A46" s="8" t="s">
        <v>593</v>
      </c>
      <c r="B46" s="8" t="s">
        <v>36</v>
      </c>
      <c r="C46" s="8"/>
      <c r="D46" s="8">
        <v>10</v>
      </c>
      <c r="E46" s="8"/>
    </row>
    <row r="47" customHeight="1" spans="1:5">
      <c r="A47" s="8"/>
      <c r="B47" s="8" t="s">
        <v>18</v>
      </c>
      <c r="C47" s="8"/>
      <c r="D47" s="8">
        <v>7</v>
      </c>
      <c r="E47" s="8"/>
    </row>
    <row r="48" customHeight="1" spans="1:5">
      <c r="A48" s="8"/>
      <c r="B48" s="8" t="s">
        <v>594</v>
      </c>
      <c r="C48" s="8"/>
      <c r="D48" s="8">
        <v>59</v>
      </c>
      <c r="E48" s="8"/>
    </row>
    <row r="49" customHeight="1" spans="1:5">
      <c r="A49" s="8" t="s">
        <v>595</v>
      </c>
      <c r="B49" s="8" t="s">
        <v>36</v>
      </c>
      <c r="C49" s="8"/>
      <c r="D49" s="8">
        <v>5</v>
      </c>
      <c r="E49" s="8"/>
    </row>
    <row r="50" customHeight="1" spans="1:5">
      <c r="A50" s="8"/>
      <c r="B50" s="8" t="s">
        <v>18</v>
      </c>
      <c r="C50" s="8"/>
      <c r="D50" s="8">
        <v>7</v>
      </c>
      <c r="E50" s="8"/>
    </row>
    <row r="51" customHeight="1" spans="1:5">
      <c r="A51" s="8"/>
      <c r="B51" s="8" t="s">
        <v>27</v>
      </c>
      <c r="C51" s="8"/>
      <c r="D51" s="8">
        <v>436.16</v>
      </c>
      <c r="E51" s="8" t="s">
        <v>581</v>
      </c>
    </row>
    <row r="52" customHeight="1" spans="1:5">
      <c r="A52" s="8" t="s">
        <v>596</v>
      </c>
      <c r="B52" s="8" t="s">
        <v>18</v>
      </c>
      <c r="C52" s="8"/>
      <c r="D52" s="8">
        <v>7</v>
      </c>
      <c r="E52" s="8"/>
    </row>
    <row r="53" customHeight="1" spans="1:5">
      <c r="A53" s="8"/>
      <c r="B53" s="8" t="s">
        <v>597</v>
      </c>
      <c r="C53" s="8"/>
      <c r="D53" s="8">
        <v>2000</v>
      </c>
      <c r="E53" s="8"/>
    </row>
    <row r="54" customHeight="1" spans="1:5">
      <c r="A54" s="8"/>
      <c r="B54" s="8" t="s">
        <v>272</v>
      </c>
      <c r="C54" s="8"/>
      <c r="D54" s="8">
        <f>50-29.22</f>
        <v>20.78</v>
      </c>
      <c r="E54" s="8" t="s">
        <v>598</v>
      </c>
    </row>
    <row r="55" customHeight="1" spans="1:5">
      <c r="A55" s="8" t="s">
        <v>599</v>
      </c>
      <c r="B55" s="8" t="s">
        <v>18</v>
      </c>
      <c r="C55" s="8"/>
      <c r="D55" s="8">
        <v>7</v>
      </c>
      <c r="E55" s="8"/>
    </row>
    <row r="56" customHeight="1" spans="1:5">
      <c r="A56" s="8"/>
      <c r="B56" s="8"/>
      <c r="C56" s="8"/>
      <c r="D56" s="8"/>
      <c r="E56" s="8"/>
    </row>
    <row r="57" customHeight="1" spans="1:5">
      <c r="A57" s="8" t="s">
        <v>600</v>
      </c>
      <c r="B57" s="8" t="s">
        <v>36</v>
      </c>
      <c r="C57" s="8"/>
      <c r="D57" s="8">
        <v>15</v>
      </c>
      <c r="E57" s="8"/>
    </row>
    <row r="58" customHeight="1" spans="1:5">
      <c r="A58" s="8"/>
      <c r="B58" s="8" t="s">
        <v>18</v>
      </c>
      <c r="C58" s="8"/>
      <c r="D58" s="8">
        <v>7</v>
      </c>
      <c r="E58" s="8"/>
    </row>
    <row r="59" customHeight="1" spans="1:5">
      <c r="A59" s="8"/>
      <c r="B59" s="8" t="s">
        <v>601</v>
      </c>
      <c r="C59" s="8"/>
      <c r="D59" s="8">
        <v>27</v>
      </c>
      <c r="E59" s="8"/>
    </row>
    <row r="60" customHeight="1" spans="1:5">
      <c r="A60" s="8" t="s">
        <v>602</v>
      </c>
      <c r="B60" s="8" t="s">
        <v>603</v>
      </c>
      <c r="C60" s="8"/>
      <c r="D60" s="8">
        <v>2</v>
      </c>
      <c r="E60" s="8"/>
    </row>
    <row r="61" customHeight="1" spans="1:5">
      <c r="A61" s="8"/>
      <c r="B61" s="8" t="s">
        <v>604</v>
      </c>
      <c r="C61" s="8"/>
      <c r="D61" s="8">
        <v>380</v>
      </c>
      <c r="E61" s="8" t="s">
        <v>605</v>
      </c>
    </row>
    <row r="62" customHeight="1" spans="1:5">
      <c r="A62" s="8"/>
      <c r="B62" s="8" t="s">
        <v>606</v>
      </c>
      <c r="C62" s="8"/>
      <c r="D62" s="8">
        <v>10</v>
      </c>
      <c r="E62" s="8"/>
    </row>
    <row r="63" customHeight="1" spans="1:5">
      <c r="A63" s="8"/>
      <c r="B63" s="8" t="s">
        <v>603</v>
      </c>
      <c r="C63" s="8"/>
      <c r="D63" s="8">
        <v>2</v>
      </c>
      <c r="E63" s="8"/>
    </row>
    <row r="64" customHeight="1" spans="1:5">
      <c r="A64" s="8"/>
      <c r="B64" s="8" t="s">
        <v>607</v>
      </c>
      <c r="C64" s="8"/>
      <c r="D64" s="8">
        <v>14.59</v>
      </c>
      <c r="E64" s="8" t="s">
        <v>608</v>
      </c>
    </row>
    <row r="65" customHeight="1" spans="1:5">
      <c r="A65" s="8"/>
      <c r="B65" s="8" t="s">
        <v>609</v>
      </c>
      <c r="C65" s="8"/>
      <c r="D65" s="8">
        <v>73.5</v>
      </c>
      <c r="E65" s="8"/>
    </row>
    <row r="66" customHeight="1" spans="1:5">
      <c r="A66" s="8" t="s">
        <v>610</v>
      </c>
      <c r="B66" s="8" t="s">
        <v>611</v>
      </c>
      <c r="C66" s="8"/>
      <c r="D66" s="8">
        <v>16</v>
      </c>
      <c r="E66" s="8"/>
    </row>
    <row r="67" customHeight="1" spans="1:5">
      <c r="A67" s="8"/>
      <c r="B67" s="8" t="s">
        <v>612</v>
      </c>
      <c r="C67" s="8"/>
      <c r="D67" s="8">
        <v>9.24</v>
      </c>
      <c r="E67" s="8" t="s">
        <v>613</v>
      </c>
    </row>
    <row r="68" customHeight="1" spans="1:5">
      <c r="A68" s="8"/>
      <c r="B68" s="8" t="s">
        <v>614</v>
      </c>
      <c r="C68" s="8"/>
      <c r="D68" s="8">
        <v>78</v>
      </c>
      <c r="E68" s="8"/>
    </row>
    <row r="69" customHeight="1" spans="1:5">
      <c r="A69" s="8"/>
      <c r="B69" s="8" t="s">
        <v>603</v>
      </c>
      <c r="C69" s="8"/>
      <c r="D69" s="8">
        <v>4</v>
      </c>
      <c r="E69" s="8"/>
    </row>
    <row r="70" customHeight="1" spans="1:5">
      <c r="A70" s="8"/>
      <c r="B70" s="8" t="s">
        <v>603</v>
      </c>
      <c r="C70" s="8"/>
      <c r="D70" s="8">
        <v>4</v>
      </c>
      <c r="E70" s="8"/>
    </row>
    <row r="71" customHeight="1" spans="1:5">
      <c r="A71" s="8"/>
      <c r="B71" s="8" t="s">
        <v>25</v>
      </c>
      <c r="C71" s="8"/>
      <c r="D71" s="8">
        <v>10</v>
      </c>
      <c r="E71" s="8"/>
    </row>
  </sheetData>
  <mergeCells count="19">
    <mergeCell ref="A2:A8"/>
    <mergeCell ref="A9:A10"/>
    <mergeCell ref="A11:A14"/>
    <mergeCell ref="A15:A16"/>
    <mergeCell ref="A17:A18"/>
    <mergeCell ref="A19:A23"/>
    <mergeCell ref="A24:A26"/>
    <mergeCell ref="A27:A31"/>
    <mergeCell ref="A32:A35"/>
    <mergeCell ref="A36:A39"/>
    <mergeCell ref="A40:A43"/>
    <mergeCell ref="A44:A45"/>
    <mergeCell ref="A46:A48"/>
    <mergeCell ref="A49:A51"/>
    <mergeCell ref="A52:A54"/>
    <mergeCell ref="A55:A56"/>
    <mergeCell ref="A57:A59"/>
    <mergeCell ref="A60:A65"/>
    <mergeCell ref="A66:A71"/>
  </mergeCells>
  <conditionalFormatting sqref="C3">
    <cfRule type="cellIs" dxfId="0" priority="235" operator="equal">
      <formula>[1]Sheet1!#REF!</formula>
    </cfRule>
    <cfRule type="cellIs" dxfId="1" priority="236" operator="equal">
      <formula>[1]Sheet1!#REF!</formula>
    </cfRule>
    <cfRule type="cellIs" dxfId="2" priority="237" operator="equal">
      <formula>[1]Sheet1!#REF!</formula>
    </cfRule>
    <cfRule type="cellIs" dxfId="3" priority="238" operator="equal">
      <formula>[1]Sheet1!#REF!</formula>
    </cfRule>
    <cfRule type="cellIs" dxfId="3" priority="239" operator="equal">
      <formula>[1]Sheet1!#REF!</formula>
    </cfRule>
    <cfRule type="cellIs" dxfId="3" priority="240" operator="equal">
      <formula>[1]Sheet1!#REF!</formula>
    </cfRule>
    <cfRule type="cellIs" dxfId="3" priority="241" operator="equal">
      <formula>[1]Sheet1!#REF!</formula>
    </cfRule>
    <cfRule type="cellIs" dxfId="3" priority="242" operator="equal">
      <formula>[1]Sheet1!#REF!</formula>
    </cfRule>
    <cfRule type="cellIs" dxfId="4" priority="243" operator="equal">
      <formula>[1]Sheet1!#REF!</formula>
    </cfRule>
  </conditionalFormatting>
  <conditionalFormatting sqref="C25">
    <cfRule type="cellIs" dxfId="0" priority="181" operator="equal">
      <formula>[1]Sheet1!#REF!</formula>
    </cfRule>
    <cfRule type="cellIs" dxfId="1" priority="182" operator="equal">
      <formula>[1]Sheet1!#REF!</formula>
    </cfRule>
    <cfRule type="cellIs" dxfId="2" priority="183" operator="equal">
      <formula>[1]Sheet1!#REF!</formula>
    </cfRule>
    <cfRule type="cellIs" dxfId="3" priority="184" operator="equal">
      <formula>[1]Sheet1!#REF!</formula>
    </cfRule>
    <cfRule type="cellIs" dxfId="3" priority="185" operator="equal">
      <formula>[1]Sheet1!#REF!</formula>
    </cfRule>
    <cfRule type="cellIs" dxfId="3" priority="186" operator="equal">
      <formula>[1]Sheet1!#REF!</formula>
    </cfRule>
    <cfRule type="cellIs" dxfId="3" priority="187" operator="equal">
      <formula>[1]Sheet1!#REF!</formula>
    </cfRule>
    <cfRule type="cellIs" dxfId="3" priority="188" operator="equal">
      <formula>[1]Sheet1!#REF!</formula>
    </cfRule>
    <cfRule type="cellIs" dxfId="4" priority="189" operator="equal">
      <formula>[1]Sheet1!#REF!</formula>
    </cfRule>
  </conditionalFormatting>
  <conditionalFormatting sqref="C27">
    <cfRule type="cellIs" dxfId="0" priority="172" operator="equal">
      <formula>[1]Sheet1!#REF!</formula>
    </cfRule>
    <cfRule type="cellIs" dxfId="1" priority="173" operator="equal">
      <formula>[1]Sheet1!#REF!</formula>
    </cfRule>
    <cfRule type="cellIs" dxfId="2" priority="174" operator="equal">
      <formula>[1]Sheet1!#REF!</formula>
    </cfRule>
    <cfRule type="cellIs" dxfId="3" priority="175" operator="equal">
      <formula>[1]Sheet1!#REF!</formula>
    </cfRule>
    <cfRule type="cellIs" dxfId="3" priority="176" operator="equal">
      <formula>[1]Sheet1!#REF!</formula>
    </cfRule>
    <cfRule type="cellIs" dxfId="3" priority="177" operator="equal">
      <formula>[1]Sheet1!#REF!</formula>
    </cfRule>
    <cfRule type="cellIs" dxfId="3" priority="178" operator="equal">
      <formula>[1]Sheet1!#REF!</formula>
    </cfRule>
    <cfRule type="cellIs" dxfId="3" priority="179" operator="equal">
      <formula>[1]Sheet1!#REF!</formula>
    </cfRule>
    <cfRule type="cellIs" dxfId="4" priority="180" operator="equal">
      <formula>[1]Sheet1!#REF!</formula>
    </cfRule>
  </conditionalFormatting>
  <conditionalFormatting sqref="C32">
    <cfRule type="cellIs" dxfId="0" priority="154" operator="equal">
      <formula>[1]Sheet1!#REF!</formula>
    </cfRule>
    <cfRule type="cellIs" dxfId="1" priority="155" operator="equal">
      <formula>[1]Sheet1!#REF!</formula>
    </cfRule>
    <cfRule type="cellIs" dxfId="2" priority="156" operator="equal">
      <formula>[1]Sheet1!#REF!</formula>
    </cfRule>
    <cfRule type="cellIs" dxfId="3" priority="157" operator="equal">
      <formula>[1]Sheet1!#REF!</formula>
    </cfRule>
    <cfRule type="cellIs" dxfId="3" priority="158" operator="equal">
      <formula>[1]Sheet1!#REF!</formula>
    </cfRule>
    <cfRule type="cellIs" dxfId="3" priority="159" operator="equal">
      <formula>[1]Sheet1!#REF!</formula>
    </cfRule>
    <cfRule type="cellIs" dxfId="3" priority="160" operator="equal">
      <formula>[1]Sheet1!#REF!</formula>
    </cfRule>
    <cfRule type="cellIs" dxfId="3" priority="161" operator="equal">
      <formula>[1]Sheet1!#REF!</formula>
    </cfRule>
    <cfRule type="cellIs" dxfId="4" priority="162" operator="equal">
      <formula>[1]Sheet1!#REF!</formula>
    </cfRule>
  </conditionalFormatting>
  <conditionalFormatting sqref="C33">
    <cfRule type="cellIs" dxfId="0" priority="37" operator="equal">
      <formula>[1]Sheet1!#REF!</formula>
    </cfRule>
    <cfRule type="cellIs" dxfId="1" priority="38" operator="equal">
      <formula>[1]Sheet1!#REF!</formula>
    </cfRule>
    <cfRule type="cellIs" dxfId="2" priority="39" operator="equal">
      <formula>[1]Sheet1!#REF!</formula>
    </cfRule>
    <cfRule type="cellIs" dxfId="3" priority="40" operator="equal">
      <formula>[1]Sheet1!#REF!</formula>
    </cfRule>
    <cfRule type="cellIs" dxfId="3" priority="41" operator="equal">
      <formula>[1]Sheet1!#REF!</formula>
    </cfRule>
    <cfRule type="cellIs" dxfId="3" priority="42" operator="equal">
      <formula>[1]Sheet1!#REF!</formula>
    </cfRule>
    <cfRule type="cellIs" dxfId="3" priority="43" operator="equal">
      <formula>[1]Sheet1!#REF!</formula>
    </cfRule>
    <cfRule type="cellIs" dxfId="3" priority="44" operator="equal">
      <formula>[1]Sheet1!#REF!</formula>
    </cfRule>
    <cfRule type="cellIs" dxfId="4" priority="45" operator="equal">
      <formula>[1]Sheet1!#REF!</formula>
    </cfRule>
  </conditionalFormatting>
  <conditionalFormatting sqref="C34">
    <cfRule type="cellIs" dxfId="0" priority="28" operator="equal">
      <formula>[1]Sheet1!#REF!</formula>
    </cfRule>
    <cfRule type="cellIs" dxfId="1" priority="29" operator="equal">
      <formula>[1]Sheet1!#REF!</formula>
    </cfRule>
    <cfRule type="cellIs" dxfId="2" priority="30" operator="equal">
      <formula>[1]Sheet1!#REF!</formula>
    </cfRule>
    <cfRule type="cellIs" dxfId="3" priority="31" operator="equal">
      <formula>[1]Sheet1!#REF!</formula>
    </cfRule>
    <cfRule type="cellIs" dxfId="3" priority="32" operator="equal">
      <formula>[1]Sheet1!#REF!</formula>
    </cfRule>
    <cfRule type="cellIs" dxfId="3" priority="33" operator="equal">
      <formula>[1]Sheet1!#REF!</formula>
    </cfRule>
    <cfRule type="cellIs" dxfId="3" priority="34" operator="equal">
      <formula>[1]Sheet1!#REF!</formula>
    </cfRule>
    <cfRule type="cellIs" dxfId="3" priority="35" operator="equal">
      <formula>[1]Sheet1!#REF!</formula>
    </cfRule>
    <cfRule type="cellIs" dxfId="4" priority="36" operator="equal">
      <formula>[1]Sheet1!#REF!</formula>
    </cfRule>
  </conditionalFormatting>
  <conditionalFormatting sqref="C35">
    <cfRule type="cellIs" dxfId="0" priority="145" operator="equal">
      <formula>[1]Sheet1!#REF!</formula>
    </cfRule>
    <cfRule type="cellIs" dxfId="1" priority="146" operator="equal">
      <formula>[1]Sheet1!#REF!</formula>
    </cfRule>
    <cfRule type="cellIs" dxfId="2" priority="147" operator="equal">
      <formula>[1]Sheet1!#REF!</formula>
    </cfRule>
    <cfRule type="cellIs" dxfId="3" priority="148" operator="equal">
      <formula>[1]Sheet1!#REF!</formula>
    </cfRule>
    <cfRule type="cellIs" dxfId="3" priority="149" operator="equal">
      <formula>[1]Sheet1!#REF!</formula>
    </cfRule>
    <cfRule type="cellIs" dxfId="3" priority="150" operator="equal">
      <formula>[1]Sheet1!#REF!</formula>
    </cfRule>
    <cfRule type="cellIs" dxfId="3" priority="151" operator="equal">
      <formula>[1]Sheet1!#REF!</formula>
    </cfRule>
    <cfRule type="cellIs" dxfId="3" priority="152" operator="equal">
      <formula>[1]Sheet1!#REF!</formula>
    </cfRule>
    <cfRule type="cellIs" dxfId="4" priority="153" operator="equal">
      <formula>[1]Sheet1!#REF!</formula>
    </cfRule>
  </conditionalFormatting>
  <conditionalFormatting sqref="C36">
    <cfRule type="cellIs" dxfId="0" priority="136" operator="equal">
      <formula>[1]Sheet1!#REF!</formula>
    </cfRule>
    <cfRule type="cellIs" dxfId="1" priority="137" operator="equal">
      <formula>[1]Sheet1!#REF!</formula>
    </cfRule>
    <cfRule type="cellIs" dxfId="2" priority="138" operator="equal">
      <formula>[1]Sheet1!#REF!</formula>
    </cfRule>
    <cfRule type="cellIs" dxfId="3" priority="139" operator="equal">
      <formula>[1]Sheet1!#REF!</formula>
    </cfRule>
    <cfRule type="cellIs" dxfId="3" priority="140" operator="equal">
      <formula>[1]Sheet1!#REF!</formula>
    </cfRule>
    <cfRule type="cellIs" dxfId="3" priority="141" operator="equal">
      <formula>[1]Sheet1!#REF!</formula>
    </cfRule>
    <cfRule type="cellIs" dxfId="3" priority="142" operator="equal">
      <formula>[1]Sheet1!#REF!</formula>
    </cfRule>
    <cfRule type="cellIs" dxfId="3" priority="143" operator="equal">
      <formula>[1]Sheet1!#REF!</formula>
    </cfRule>
    <cfRule type="cellIs" dxfId="4" priority="144" operator="equal">
      <formula>[1]Sheet1!#REF!</formula>
    </cfRule>
  </conditionalFormatting>
  <conditionalFormatting sqref="C37">
    <cfRule type="cellIs" dxfId="0" priority="19" operator="equal">
      <formula>[1]Sheet1!#REF!</formula>
    </cfRule>
    <cfRule type="cellIs" dxfId="1" priority="20" operator="equal">
      <formula>[1]Sheet1!#REF!</formula>
    </cfRule>
    <cfRule type="cellIs" dxfId="2" priority="21" operator="equal">
      <formula>[1]Sheet1!#REF!</formula>
    </cfRule>
    <cfRule type="cellIs" dxfId="3" priority="22" operator="equal">
      <formula>[1]Sheet1!#REF!</formula>
    </cfRule>
    <cfRule type="cellIs" dxfId="3" priority="23" operator="equal">
      <formula>[1]Sheet1!#REF!</formula>
    </cfRule>
    <cfRule type="cellIs" dxfId="3" priority="24" operator="equal">
      <formula>[1]Sheet1!#REF!</formula>
    </cfRule>
    <cfRule type="cellIs" dxfId="3" priority="25" operator="equal">
      <formula>[1]Sheet1!#REF!</formula>
    </cfRule>
    <cfRule type="cellIs" dxfId="3" priority="26" operator="equal">
      <formula>[1]Sheet1!#REF!</formula>
    </cfRule>
    <cfRule type="cellIs" dxfId="4" priority="27" operator="equal">
      <formula>[1]Sheet1!#REF!</formula>
    </cfRule>
  </conditionalFormatting>
  <conditionalFormatting sqref="C38">
    <cfRule type="cellIs" dxfId="0" priority="10" operator="equal">
      <formula>[1]Sheet1!#REF!</formula>
    </cfRule>
    <cfRule type="cellIs" dxfId="1" priority="11" operator="equal">
      <formula>[1]Sheet1!#REF!</formula>
    </cfRule>
    <cfRule type="cellIs" dxfId="2" priority="12" operator="equal">
      <formula>[1]Sheet1!#REF!</formula>
    </cfRule>
    <cfRule type="cellIs" dxfId="3" priority="13" operator="equal">
      <formula>[1]Sheet1!#REF!</formula>
    </cfRule>
    <cfRule type="cellIs" dxfId="3" priority="14" operator="equal">
      <formula>[1]Sheet1!#REF!</formula>
    </cfRule>
    <cfRule type="cellIs" dxfId="3" priority="15" operator="equal">
      <formula>[1]Sheet1!#REF!</formula>
    </cfRule>
    <cfRule type="cellIs" dxfId="3" priority="16" operator="equal">
      <formula>[1]Sheet1!#REF!</formula>
    </cfRule>
    <cfRule type="cellIs" dxfId="3" priority="17" operator="equal">
      <formula>[1]Sheet1!#REF!</formula>
    </cfRule>
    <cfRule type="cellIs" dxfId="4" priority="18" operator="equal">
      <formula>[1]Sheet1!#REF!</formula>
    </cfRule>
  </conditionalFormatting>
  <conditionalFormatting sqref="C39">
    <cfRule type="cellIs" dxfId="0" priority="127" operator="equal">
      <formula>[1]Sheet1!#REF!</formula>
    </cfRule>
    <cfRule type="cellIs" dxfId="1" priority="128" operator="equal">
      <formula>[1]Sheet1!#REF!</formula>
    </cfRule>
    <cfRule type="cellIs" dxfId="2" priority="129" operator="equal">
      <formula>[1]Sheet1!#REF!</formula>
    </cfRule>
    <cfRule type="cellIs" dxfId="3" priority="130" operator="equal">
      <formula>[1]Sheet1!#REF!</formula>
    </cfRule>
    <cfRule type="cellIs" dxfId="3" priority="131" operator="equal">
      <formula>[1]Sheet1!#REF!</formula>
    </cfRule>
    <cfRule type="cellIs" dxfId="3" priority="132" operator="equal">
      <formula>[1]Sheet1!#REF!</formula>
    </cfRule>
    <cfRule type="cellIs" dxfId="3" priority="133" operator="equal">
      <formula>[1]Sheet1!#REF!</formula>
    </cfRule>
    <cfRule type="cellIs" dxfId="3" priority="134" operator="equal">
      <formula>[1]Sheet1!#REF!</formula>
    </cfRule>
    <cfRule type="cellIs" dxfId="4" priority="135" operator="equal">
      <formula>[1]Sheet1!#REF!</formula>
    </cfRule>
  </conditionalFormatting>
  <conditionalFormatting sqref="C42">
    <cfRule type="cellIs" dxfId="0" priority="109" operator="equal">
      <formula>[1]Sheet1!#REF!</formula>
    </cfRule>
    <cfRule type="cellIs" dxfId="1" priority="110" operator="equal">
      <formula>[1]Sheet1!#REF!</formula>
    </cfRule>
    <cfRule type="cellIs" dxfId="2" priority="111" operator="equal">
      <formula>[1]Sheet1!#REF!</formula>
    </cfRule>
    <cfRule type="cellIs" dxfId="3" priority="112" operator="equal">
      <formula>[1]Sheet1!#REF!</formula>
    </cfRule>
    <cfRule type="cellIs" dxfId="3" priority="113" operator="equal">
      <formula>[1]Sheet1!#REF!</formula>
    </cfRule>
    <cfRule type="cellIs" dxfId="3" priority="114" operator="equal">
      <formula>[1]Sheet1!#REF!</formula>
    </cfRule>
    <cfRule type="cellIs" dxfId="3" priority="115" operator="equal">
      <formula>[1]Sheet1!#REF!</formula>
    </cfRule>
    <cfRule type="cellIs" dxfId="3" priority="116" operator="equal">
      <formula>[1]Sheet1!#REF!</formula>
    </cfRule>
    <cfRule type="cellIs" dxfId="4" priority="117" operator="equal">
      <formula>[1]Sheet1!#REF!</formula>
    </cfRule>
  </conditionalFormatting>
  <conditionalFormatting sqref="C47">
    <cfRule type="cellIs" dxfId="0" priority="100" operator="equal">
      <formula>[1]Sheet1!#REF!</formula>
    </cfRule>
    <cfRule type="cellIs" dxfId="1" priority="101" operator="equal">
      <formula>[1]Sheet1!#REF!</formula>
    </cfRule>
    <cfRule type="cellIs" dxfId="2" priority="102" operator="equal">
      <formula>[1]Sheet1!#REF!</formula>
    </cfRule>
    <cfRule type="cellIs" dxfId="3" priority="103" operator="equal">
      <formula>[1]Sheet1!#REF!</formula>
    </cfRule>
    <cfRule type="cellIs" dxfId="3" priority="104" operator="equal">
      <formula>[1]Sheet1!#REF!</formula>
    </cfRule>
    <cfRule type="cellIs" dxfId="3" priority="105" operator="equal">
      <formula>[1]Sheet1!#REF!</formula>
    </cfRule>
    <cfRule type="cellIs" dxfId="3" priority="106" operator="equal">
      <formula>[1]Sheet1!#REF!</formula>
    </cfRule>
    <cfRule type="cellIs" dxfId="3" priority="107" operator="equal">
      <formula>[1]Sheet1!#REF!</formula>
    </cfRule>
    <cfRule type="cellIs" dxfId="4" priority="108" operator="equal">
      <formula>[1]Sheet1!#REF!</formula>
    </cfRule>
  </conditionalFormatting>
  <conditionalFormatting sqref="C50">
    <cfRule type="cellIs" dxfId="0" priority="91" operator="equal">
      <formula>[1]Sheet1!#REF!</formula>
    </cfRule>
    <cfRule type="cellIs" dxfId="1" priority="92" operator="equal">
      <formula>[1]Sheet1!#REF!</formula>
    </cfRule>
    <cfRule type="cellIs" dxfId="2" priority="93" operator="equal">
      <formula>[1]Sheet1!#REF!</formula>
    </cfRule>
    <cfRule type="cellIs" dxfId="3" priority="94" operator="equal">
      <formula>[1]Sheet1!#REF!</formula>
    </cfRule>
    <cfRule type="cellIs" dxfId="3" priority="95" operator="equal">
      <formula>[1]Sheet1!#REF!</formula>
    </cfRule>
    <cfRule type="cellIs" dxfId="3" priority="96" operator="equal">
      <formula>[1]Sheet1!#REF!</formula>
    </cfRule>
    <cfRule type="cellIs" dxfId="3" priority="97" operator="equal">
      <formula>[1]Sheet1!#REF!</formula>
    </cfRule>
    <cfRule type="cellIs" dxfId="3" priority="98" operator="equal">
      <formula>[1]Sheet1!#REF!</formula>
    </cfRule>
    <cfRule type="cellIs" dxfId="4" priority="99" operator="equal">
      <formula>[1]Sheet1!#REF!</formula>
    </cfRule>
  </conditionalFormatting>
  <conditionalFormatting sqref="C52">
    <cfRule type="cellIs" dxfId="0" priority="82" operator="equal">
      <formula>[1]Sheet1!#REF!</formula>
    </cfRule>
    <cfRule type="cellIs" dxfId="1" priority="83" operator="equal">
      <formula>[1]Sheet1!#REF!</formula>
    </cfRule>
    <cfRule type="cellIs" dxfId="2" priority="84" operator="equal">
      <formula>[1]Sheet1!#REF!</formula>
    </cfRule>
    <cfRule type="cellIs" dxfId="3" priority="85" operator="equal">
      <formula>[1]Sheet1!#REF!</formula>
    </cfRule>
    <cfRule type="cellIs" dxfId="3" priority="86" operator="equal">
      <formula>[1]Sheet1!#REF!</formula>
    </cfRule>
    <cfRule type="cellIs" dxfId="3" priority="87" operator="equal">
      <formula>[1]Sheet1!#REF!</formula>
    </cfRule>
    <cfRule type="cellIs" dxfId="3" priority="88" operator="equal">
      <formula>[1]Sheet1!#REF!</formula>
    </cfRule>
    <cfRule type="cellIs" dxfId="3" priority="89" operator="equal">
      <formula>[1]Sheet1!#REF!</formula>
    </cfRule>
    <cfRule type="cellIs" dxfId="4" priority="90" operator="equal">
      <formula>[1]Sheet1!#REF!</formula>
    </cfRule>
  </conditionalFormatting>
  <conditionalFormatting sqref="C53">
    <cfRule type="cellIs" dxfId="0" priority="1" operator="equal">
      <formula>[1]Sheet1!#REF!</formula>
    </cfRule>
    <cfRule type="cellIs" dxfId="1" priority="2" operator="equal">
      <formula>[1]Sheet1!#REF!</formula>
    </cfRule>
    <cfRule type="cellIs" dxfId="2" priority="3" operator="equal">
      <formula>[1]Sheet1!#REF!</formula>
    </cfRule>
    <cfRule type="cellIs" dxfId="3" priority="4" operator="equal">
      <formula>[1]Sheet1!#REF!</formula>
    </cfRule>
    <cfRule type="cellIs" dxfId="3" priority="5" operator="equal">
      <formula>[1]Sheet1!#REF!</formula>
    </cfRule>
    <cfRule type="cellIs" dxfId="3" priority="6" operator="equal">
      <formula>[1]Sheet1!#REF!</formula>
    </cfRule>
    <cfRule type="cellIs" dxfId="3" priority="7" operator="equal">
      <formula>[1]Sheet1!#REF!</formula>
    </cfRule>
    <cfRule type="cellIs" dxfId="3" priority="8" operator="equal">
      <formula>[1]Sheet1!#REF!</formula>
    </cfRule>
    <cfRule type="cellIs" dxfId="4" priority="9" operator="equal">
      <formula>[1]Sheet1!#REF!</formula>
    </cfRule>
  </conditionalFormatting>
  <conditionalFormatting sqref="C55">
    <cfRule type="cellIs" dxfId="0" priority="73" operator="equal">
      <formula>[1]Sheet1!#REF!</formula>
    </cfRule>
    <cfRule type="cellIs" dxfId="1" priority="74" operator="equal">
      <formula>[1]Sheet1!#REF!</formula>
    </cfRule>
    <cfRule type="cellIs" dxfId="2" priority="75" operator="equal">
      <formula>[1]Sheet1!#REF!</formula>
    </cfRule>
    <cfRule type="cellIs" dxfId="3" priority="76" operator="equal">
      <formula>[1]Sheet1!#REF!</formula>
    </cfRule>
    <cfRule type="cellIs" dxfId="3" priority="77" operator="equal">
      <formula>[1]Sheet1!#REF!</formula>
    </cfRule>
    <cfRule type="cellIs" dxfId="3" priority="78" operator="equal">
      <formula>[1]Sheet1!#REF!</formula>
    </cfRule>
    <cfRule type="cellIs" dxfId="3" priority="79" operator="equal">
      <formula>[1]Sheet1!#REF!</formula>
    </cfRule>
    <cfRule type="cellIs" dxfId="3" priority="80" operator="equal">
      <formula>[1]Sheet1!#REF!</formula>
    </cfRule>
    <cfRule type="cellIs" dxfId="4" priority="81" operator="equal">
      <formula>[1]Sheet1!#REF!</formula>
    </cfRule>
  </conditionalFormatting>
  <conditionalFormatting sqref="C57">
    <cfRule type="cellIs" dxfId="0" priority="64" operator="equal">
      <formula>[1]Sheet1!#REF!</formula>
    </cfRule>
    <cfRule type="cellIs" dxfId="1" priority="65" operator="equal">
      <formula>[1]Sheet1!#REF!</formula>
    </cfRule>
    <cfRule type="cellIs" dxfId="2" priority="66" operator="equal">
      <formula>[1]Sheet1!#REF!</formula>
    </cfRule>
    <cfRule type="cellIs" dxfId="3" priority="67" operator="equal">
      <formula>[1]Sheet1!#REF!</formula>
    </cfRule>
    <cfRule type="cellIs" dxfId="3" priority="68" operator="equal">
      <formula>[1]Sheet1!#REF!</formula>
    </cfRule>
    <cfRule type="cellIs" dxfId="3" priority="69" operator="equal">
      <formula>[1]Sheet1!#REF!</formula>
    </cfRule>
    <cfRule type="cellIs" dxfId="3" priority="70" operator="equal">
      <formula>[1]Sheet1!#REF!</formula>
    </cfRule>
    <cfRule type="cellIs" dxfId="3" priority="71" operator="equal">
      <formula>[1]Sheet1!#REF!</formula>
    </cfRule>
    <cfRule type="cellIs" dxfId="4" priority="72" operator="equal">
      <formula>[1]Sheet1!#REF!</formula>
    </cfRule>
  </conditionalFormatting>
  <conditionalFormatting sqref="C58">
    <cfRule type="cellIs" dxfId="0" priority="46" operator="equal">
      <formula>[1]Sheet1!#REF!</formula>
    </cfRule>
    <cfRule type="cellIs" dxfId="1" priority="47" operator="equal">
      <formula>[1]Sheet1!#REF!</formula>
    </cfRule>
    <cfRule type="cellIs" dxfId="2" priority="48" operator="equal">
      <formula>[1]Sheet1!#REF!</formula>
    </cfRule>
    <cfRule type="cellIs" dxfId="3" priority="49" operator="equal">
      <formula>[1]Sheet1!#REF!</formula>
    </cfRule>
    <cfRule type="cellIs" dxfId="3" priority="50" operator="equal">
      <formula>[1]Sheet1!#REF!</formula>
    </cfRule>
    <cfRule type="cellIs" dxfId="3" priority="51" operator="equal">
      <formula>[1]Sheet1!#REF!</formula>
    </cfRule>
    <cfRule type="cellIs" dxfId="3" priority="52" operator="equal">
      <formula>[1]Sheet1!#REF!</formula>
    </cfRule>
    <cfRule type="cellIs" dxfId="3" priority="53" operator="equal">
      <formula>[1]Sheet1!#REF!</formula>
    </cfRule>
    <cfRule type="cellIs" dxfId="4" priority="54" operator="equal">
      <formula>[1]Sheet1!#REF!</formula>
    </cfRule>
  </conditionalFormatting>
  <conditionalFormatting sqref="C59">
    <cfRule type="cellIs" dxfId="0" priority="55" operator="equal">
      <formula>[1]Sheet1!#REF!</formula>
    </cfRule>
    <cfRule type="cellIs" dxfId="1" priority="56" operator="equal">
      <formula>[1]Sheet1!#REF!</formula>
    </cfRule>
    <cfRule type="cellIs" dxfId="2" priority="57" operator="equal">
      <formula>[1]Sheet1!#REF!</formula>
    </cfRule>
    <cfRule type="cellIs" dxfId="3" priority="58" operator="equal">
      <formula>[1]Sheet1!#REF!</formula>
    </cfRule>
    <cfRule type="cellIs" dxfId="3" priority="59" operator="equal">
      <formula>[1]Sheet1!#REF!</formula>
    </cfRule>
    <cfRule type="cellIs" dxfId="3" priority="60" operator="equal">
      <formula>[1]Sheet1!#REF!</formula>
    </cfRule>
    <cfRule type="cellIs" dxfId="3" priority="61" operator="equal">
      <formula>[1]Sheet1!#REF!</formula>
    </cfRule>
    <cfRule type="cellIs" dxfId="3" priority="62" operator="equal">
      <formula>[1]Sheet1!#REF!</formula>
    </cfRule>
    <cfRule type="cellIs" dxfId="4" priority="63" operator="equal">
      <formula>[1]Sheet1!#REF!</formula>
    </cfRule>
  </conditionalFormatting>
  <conditionalFormatting sqref="C6:C7">
    <cfRule type="cellIs" dxfId="0" priority="226" operator="equal">
      <formula>[1]Sheet1!#REF!</formula>
    </cfRule>
    <cfRule type="cellIs" dxfId="1" priority="227" operator="equal">
      <formula>[1]Sheet1!#REF!</formula>
    </cfRule>
    <cfRule type="cellIs" dxfId="2" priority="228" operator="equal">
      <formula>[1]Sheet1!#REF!</formula>
    </cfRule>
    <cfRule type="cellIs" dxfId="3" priority="229" operator="equal">
      <formula>[1]Sheet1!#REF!</formula>
    </cfRule>
    <cfRule type="cellIs" dxfId="3" priority="230" operator="equal">
      <formula>[1]Sheet1!#REF!</formula>
    </cfRule>
    <cfRule type="cellIs" dxfId="3" priority="231" operator="equal">
      <formula>[1]Sheet1!#REF!</formula>
    </cfRule>
    <cfRule type="cellIs" dxfId="3" priority="232" operator="equal">
      <formula>[1]Sheet1!#REF!</formula>
    </cfRule>
    <cfRule type="cellIs" dxfId="3" priority="233" operator="equal">
      <formula>[1]Sheet1!#REF!</formula>
    </cfRule>
    <cfRule type="cellIs" dxfId="4" priority="234" operator="equal">
      <formula>[1]Sheet1!#REF!</formula>
    </cfRule>
  </conditionalFormatting>
  <conditionalFormatting sqref="C11:C13">
    <cfRule type="cellIs" dxfId="0" priority="217" operator="equal">
      <formula>[1]Sheet1!#REF!</formula>
    </cfRule>
    <cfRule type="cellIs" dxfId="1" priority="218" operator="equal">
      <formula>[1]Sheet1!#REF!</formula>
    </cfRule>
    <cfRule type="cellIs" dxfId="2" priority="219" operator="equal">
      <formula>[1]Sheet1!#REF!</formula>
    </cfRule>
    <cfRule type="cellIs" dxfId="3" priority="220" operator="equal">
      <formula>[1]Sheet1!#REF!</formula>
    </cfRule>
    <cfRule type="cellIs" dxfId="3" priority="221" operator="equal">
      <formula>[1]Sheet1!#REF!</formula>
    </cfRule>
    <cfRule type="cellIs" dxfId="3" priority="222" operator="equal">
      <formula>[1]Sheet1!#REF!</formula>
    </cfRule>
    <cfRule type="cellIs" dxfId="3" priority="223" operator="equal">
      <formula>[1]Sheet1!#REF!</formula>
    </cfRule>
    <cfRule type="cellIs" dxfId="3" priority="224" operator="equal">
      <formula>[1]Sheet1!#REF!</formula>
    </cfRule>
    <cfRule type="cellIs" dxfId="4" priority="225" operator="equal">
      <formula>[1]Sheet1!#REF!</formula>
    </cfRule>
  </conditionalFormatting>
  <conditionalFormatting sqref="C21:C22">
    <cfRule type="cellIs" dxfId="0" priority="208" operator="equal">
      <formula>[1]Sheet1!#REF!</formula>
    </cfRule>
    <cfRule type="cellIs" dxfId="1" priority="209" operator="equal">
      <formula>[1]Sheet1!#REF!</formula>
    </cfRule>
    <cfRule type="cellIs" dxfId="2" priority="210" operator="equal">
      <formula>[1]Sheet1!#REF!</formula>
    </cfRule>
    <cfRule type="cellIs" dxfId="3" priority="211" operator="equal">
      <formula>[1]Sheet1!#REF!</formula>
    </cfRule>
    <cfRule type="cellIs" dxfId="3" priority="212" operator="equal">
      <formula>[1]Sheet1!#REF!</formula>
    </cfRule>
    <cfRule type="cellIs" dxfId="3" priority="213" operator="equal">
      <formula>[1]Sheet1!#REF!</formula>
    </cfRule>
    <cfRule type="cellIs" dxfId="3" priority="214" operator="equal">
      <formula>[1]Sheet1!#REF!</formula>
    </cfRule>
    <cfRule type="cellIs" dxfId="3" priority="215" operator="equal">
      <formula>[1]Sheet1!#REF!</formula>
    </cfRule>
    <cfRule type="cellIs" dxfId="4" priority="216" operator="equal">
      <formula>[1]Sheet1!#REF!</formula>
    </cfRule>
  </conditionalFormatting>
  <conditionalFormatting sqref="C28:C30">
    <cfRule type="cellIs" dxfId="0" priority="163" operator="equal">
      <formula>[1]Sheet1!#REF!</formula>
    </cfRule>
    <cfRule type="cellIs" dxfId="1" priority="164" operator="equal">
      <formula>[1]Sheet1!#REF!</formula>
    </cfRule>
    <cfRule type="cellIs" dxfId="2" priority="165" operator="equal">
      <formula>[1]Sheet1!#REF!</formula>
    </cfRule>
    <cfRule type="cellIs" dxfId="3" priority="166" operator="equal">
      <formula>[1]Sheet1!#REF!</formula>
    </cfRule>
    <cfRule type="cellIs" dxfId="3" priority="167" operator="equal">
      <formula>[1]Sheet1!#REF!</formula>
    </cfRule>
    <cfRule type="cellIs" dxfId="3" priority="168" operator="equal">
      <formula>[1]Sheet1!#REF!</formula>
    </cfRule>
    <cfRule type="cellIs" dxfId="3" priority="169" operator="equal">
      <formula>[1]Sheet1!#REF!</formula>
    </cfRule>
    <cfRule type="cellIs" dxfId="3" priority="170" operator="equal">
      <formula>[1]Sheet1!#REF!</formula>
    </cfRule>
    <cfRule type="cellIs" dxfId="4" priority="171" operator="equal">
      <formula>[1]Sheet1!#REF!</formula>
    </cfRule>
  </conditionalFormatting>
  <conditionalFormatting sqref="C40:C41">
    <cfRule type="cellIs" dxfId="0" priority="118" operator="equal">
      <formula>[1]Sheet1!#REF!</formula>
    </cfRule>
    <cfRule type="cellIs" dxfId="1" priority="119" operator="equal">
      <formula>[1]Sheet1!#REF!</formula>
    </cfRule>
    <cfRule type="cellIs" dxfId="2" priority="120" operator="equal">
      <formula>[1]Sheet1!#REF!</formula>
    </cfRule>
    <cfRule type="cellIs" dxfId="3" priority="121" operator="equal">
      <formula>[1]Sheet1!#REF!</formula>
    </cfRule>
    <cfRule type="cellIs" dxfId="3" priority="122" operator="equal">
      <formula>[1]Sheet1!#REF!</formula>
    </cfRule>
    <cfRule type="cellIs" dxfId="3" priority="123" operator="equal">
      <formula>[1]Sheet1!#REF!</formula>
    </cfRule>
    <cfRule type="cellIs" dxfId="3" priority="124" operator="equal">
      <formula>[1]Sheet1!#REF!</formula>
    </cfRule>
    <cfRule type="cellIs" dxfId="3" priority="125" operator="equal">
      <formula>[1]Sheet1!#REF!</formula>
    </cfRule>
    <cfRule type="cellIs" dxfId="4" priority="126" operator="equal">
      <formula>[1]Sheet1!#REF!</formula>
    </cfRule>
  </conditionalFormatting>
  <conditionalFormatting sqref="C1:C2 C31 C43:C46 C48 C54 C56 C60:C71 C23 C14:C20 C8:C10 C4:C5">
    <cfRule type="cellIs" dxfId="0" priority="244" operator="equal">
      <formula>[1]Sheet1!#REF!</formula>
    </cfRule>
    <cfRule type="cellIs" dxfId="1" priority="245" operator="equal">
      <formula>[1]Sheet1!#REF!</formula>
    </cfRule>
    <cfRule type="cellIs" dxfId="2" priority="246" operator="equal">
      <formula>[1]Sheet1!#REF!</formula>
    </cfRule>
    <cfRule type="cellIs" dxfId="3" priority="247" operator="equal">
      <formula>[1]Sheet1!#REF!</formula>
    </cfRule>
    <cfRule type="cellIs" dxfId="3" priority="248" operator="equal">
      <formula>[1]Sheet1!#REF!</formula>
    </cfRule>
    <cfRule type="cellIs" dxfId="3" priority="249" operator="equal">
      <formula>[1]Sheet1!#REF!</formula>
    </cfRule>
    <cfRule type="cellIs" dxfId="3" priority="250" operator="equal">
      <formula>[1]Sheet1!#REF!</formula>
    </cfRule>
    <cfRule type="cellIs" dxfId="3" priority="251" operator="equal">
      <formula>[1]Sheet1!#REF!</formula>
    </cfRule>
    <cfRule type="cellIs" dxfId="4" priority="252" operator="equal">
      <formula>[1]Sheet1!#REF!</formula>
    </cfRule>
  </conditionalFormatting>
  <conditionalFormatting sqref="C24 C26">
    <cfRule type="cellIs" dxfId="0" priority="199" operator="equal">
      <formula>[1]Sheet1!#REF!</formula>
    </cfRule>
    <cfRule type="cellIs" dxfId="1" priority="200" operator="equal">
      <formula>[1]Sheet1!#REF!</formula>
    </cfRule>
    <cfRule type="cellIs" dxfId="2" priority="201" operator="equal">
      <formula>[1]Sheet1!#REF!</formula>
    </cfRule>
    <cfRule type="cellIs" dxfId="3" priority="202" operator="equal">
      <formula>[1]Sheet1!#REF!</formula>
    </cfRule>
    <cfRule type="cellIs" dxfId="3" priority="203" operator="equal">
      <formula>[1]Sheet1!#REF!</formula>
    </cfRule>
    <cfRule type="cellIs" dxfId="3" priority="204" operator="equal">
      <formula>[1]Sheet1!#REF!</formula>
    </cfRule>
    <cfRule type="cellIs" dxfId="3" priority="205" operator="equal">
      <formula>[1]Sheet1!#REF!</formula>
    </cfRule>
    <cfRule type="cellIs" dxfId="3" priority="206" operator="equal">
      <formula>[1]Sheet1!#REF!</formula>
    </cfRule>
    <cfRule type="cellIs" dxfId="4" priority="207" operator="equal">
      <formula>[1]Sheet1!#REF!</formula>
    </cfRule>
  </conditionalFormatting>
  <conditionalFormatting sqref="C49 C51">
    <cfRule type="cellIs" dxfId="0" priority="190" operator="equal">
      <formula>[1]Sheet1!#REF!</formula>
    </cfRule>
    <cfRule type="cellIs" dxfId="1" priority="191" operator="equal">
      <formula>[1]Sheet1!#REF!</formula>
    </cfRule>
    <cfRule type="cellIs" dxfId="2" priority="192" operator="equal">
      <formula>[1]Sheet1!#REF!</formula>
    </cfRule>
    <cfRule type="cellIs" dxfId="3" priority="193" operator="equal">
      <formula>[1]Sheet1!#REF!</formula>
    </cfRule>
    <cfRule type="cellIs" dxfId="3" priority="194" operator="equal">
      <formula>[1]Sheet1!#REF!</formula>
    </cfRule>
    <cfRule type="cellIs" dxfId="3" priority="195" operator="equal">
      <formula>[1]Sheet1!#REF!</formula>
    </cfRule>
    <cfRule type="cellIs" dxfId="3" priority="196" operator="equal">
      <formula>[1]Sheet1!#REF!</formula>
    </cfRule>
    <cfRule type="cellIs" dxfId="3" priority="197" operator="equal">
      <formula>[1]Sheet1!#REF!</formula>
    </cfRule>
    <cfRule type="cellIs" dxfId="4" priority="198" operator="equal">
      <formula>[1]Sheet1!#REF!</formula>
    </cfRule>
  </conditionalFormatting>
  <dataValidations count="1">
    <dataValidation type="list" allowBlank="1" showInputMessage="1" showErrorMessage="1" sqref="C3 C4 C5 C6 C7 C11 C12 C13 C20 C21 C22 C23 C24 C25 C26 C27 C28 C29 C30 C31 C32 C33 C34 C35 C36 C37 C38 C39 C40 C41 C42 C47 C48 C49 C50 C51 C52 C53 C54 C55 C56 C57 C58 C59 C60 C61 C62 C63 C64 C67 C68 C69 C70 C71 C1:C2 C8:C10 C14:C19 C43:C46 C65:C66">
      <formula1>[1]Sheet1!#REF!</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3"/>
  <sheetViews>
    <sheetView topLeftCell="A10" workbookViewId="0">
      <selection activeCell="A63" sqref="A63"/>
    </sheetView>
  </sheetViews>
  <sheetFormatPr defaultColWidth="8.88888888888889" defaultRowHeight="14.4" outlineLevelCol="4"/>
  <cols>
    <col min="2" max="2" width="9.66666666666667"/>
  </cols>
  <sheetData>
    <row r="1" spans="1:1">
      <c r="A1" t="s">
        <v>615</v>
      </c>
    </row>
    <row r="2" spans="1:2">
      <c r="A2" s="1" t="s">
        <v>616</v>
      </c>
      <c r="B2" s="1" t="s">
        <v>617</v>
      </c>
    </row>
    <row r="3" spans="1:2">
      <c r="A3" s="2">
        <v>46032</v>
      </c>
      <c r="B3" s="3">
        <v>10335.81</v>
      </c>
    </row>
    <row r="4" spans="1:2">
      <c r="A4" s="2">
        <v>46063</v>
      </c>
      <c r="B4" s="3">
        <v>10421.52</v>
      </c>
    </row>
    <row r="5" spans="1:2">
      <c r="A5" s="2">
        <v>46091</v>
      </c>
      <c r="B5" s="3">
        <v>10511.53</v>
      </c>
    </row>
    <row r="6" spans="1:2">
      <c r="A6" s="2">
        <v>46122</v>
      </c>
      <c r="B6" s="3">
        <v>10451.53</v>
      </c>
    </row>
    <row r="7" spans="1:2">
      <c r="A7" s="2">
        <v>46152</v>
      </c>
      <c r="B7" s="3">
        <v>10451.53</v>
      </c>
    </row>
    <row r="8" spans="1:2">
      <c r="A8" s="2">
        <v>46183</v>
      </c>
      <c r="B8" s="3">
        <v>10128.84</v>
      </c>
    </row>
    <row r="9" spans="1:2">
      <c r="A9" s="2"/>
      <c r="B9" s="3"/>
    </row>
    <row r="10" spans="1:2">
      <c r="A10" s="1" t="s">
        <v>616</v>
      </c>
      <c r="B10" s="1" t="s">
        <v>618</v>
      </c>
    </row>
    <row r="11" spans="1:2">
      <c r="A11" s="2">
        <v>46053</v>
      </c>
      <c r="B11" s="3">
        <v>16771.24</v>
      </c>
    </row>
    <row r="12" spans="1:2">
      <c r="A12" s="2">
        <v>46081</v>
      </c>
      <c r="B12" s="3">
        <v>3975.4</v>
      </c>
    </row>
    <row r="13" spans="1:2">
      <c r="A13" s="2">
        <v>46112</v>
      </c>
      <c r="B13" s="3">
        <v>3860.79</v>
      </c>
    </row>
    <row r="14" spans="1:2">
      <c r="A14" s="2">
        <v>46142</v>
      </c>
      <c r="B14" s="3">
        <v>3527.31</v>
      </c>
    </row>
    <row r="15" spans="1:2">
      <c r="A15" s="2">
        <v>46173</v>
      </c>
      <c r="B15" s="3">
        <v>3184.36</v>
      </c>
    </row>
    <row r="16" spans="1:2">
      <c r="A16" s="2">
        <v>46203</v>
      </c>
      <c r="B16" s="3">
        <v>3773.58</v>
      </c>
    </row>
    <row r="17" spans="1:1">
      <c r="A17" s="4"/>
    </row>
    <row r="18" spans="1:1">
      <c r="A18" s="4"/>
    </row>
    <row r="19" spans="1:1">
      <c r="A19" t="s">
        <v>619</v>
      </c>
    </row>
    <row r="20" spans="1:5">
      <c r="A20" s="5" t="s">
        <v>0</v>
      </c>
      <c r="B20" s="5" t="s">
        <v>620</v>
      </c>
      <c r="C20" s="5" t="s">
        <v>2</v>
      </c>
      <c r="D20" s="5" t="s">
        <v>3</v>
      </c>
      <c r="E20" s="5" t="s">
        <v>4</v>
      </c>
    </row>
    <row r="21" spans="1:5">
      <c r="A21" s="6" t="s">
        <v>6</v>
      </c>
      <c r="B21" s="6" t="s">
        <v>9</v>
      </c>
      <c r="C21" s="6"/>
      <c r="D21" s="6">
        <v>1200</v>
      </c>
      <c r="E21" s="6" t="s">
        <v>7</v>
      </c>
    </row>
    <row r="22" spans="1:5">
      <c r="A22" s="6" t="s">
        <v>49</v>
      </c>
      <c r="B22" s="6" t="s">
        <v>621</v>
      </c>
      <c r="C22" s="6"/>
      <c r="D22" s="6">
        <v>0.65</v>
      </c>
      <c r="E22" s="6" t="s">
        <v>136</v>
      </c>
    </row>
    <row r="23" spans="1:5">
      <c r="A23" s="6" t="s">
        <v>67</v>
      </c>
      <c r="B23" s="6" t="s">
        <v>621</v>
      </c>
      <c r="C23" s="6"/>
      <c r="D23" s="6">
        <v>1.26</v>
      </c>
      <c r="E23" s="6" t="s">
        <v>136</v>
      </c>
    </row>
    <row r="24" spans="1:5">
      <c r="A24" s="6" t="s">
        <v>112</v>
      </c>
      <c r="B24" s="6" t="s">
        <v>622</v>
      </c>
      <c r="C24" s="6"/>
      <c r="D24" s="6">
        <v>1500</v>
      </c>
      <c r="E24" s="6" t="s">
        <v>623</v>
      </c>
    </row>
    <row r="25" spans="1:5">
      <c r="A25" s="6" t="s">
        <v>127</v>
      </c>
      <c r="B25" s="6" t="s">
        <v>624</v>
      </c>
      <c r="C25" s="6"/>
      <c r="D25" s="6">
        <v>1.08</v>
      </c>
      <c r="E25" s="6" t="s">
        <v>624</v>
      </c>
    </row>
    <row r="26" spans="1:5">
      <c r="A26" s="6" t="s">
        <v>127</v>
      </c>
      <c r="B26" s="6" t="s">
        <v>624</v>
      </c>
      <c r="C26" s="6"/>
      <c r="D26" s="6">
        <v>0.38</v>
      </c>
      <c r="E26" s="6" t="s">
        <v>624</v>
      </c>
    </row>
    <row r="27" spans="1:5">
      <c r="A27" s="6" t="s">
        <v>162</v>
      </c>
      <c r="B27" s="6" t="s">
        <v>621</v>
      </c>
      <c r="C27" s="6"/>
      <c r="D27" s="6">
        <v>0.72</v>
      </c>
      <c r="E27" s="6" t="s">
        <v>136</v>
      </c>
    </row>
    <row r="28" spans="1:5">
      <c r="A28" s="6" t="s">
        <v>162</v>
      </c>
      <c r="B28" s="6" t="s">
        <v>621</v>
      </c>
      <c r="C28" s="6"/>
      <c r="D28" s="6">
        <v>0.61</v>
      </c>
      <c r="E28" s="6" t="s">
        <v>136</v>
      </c>
    </row>
    <row r="29" spans="1:5">
      <c r="A29" s="6" t="s">
        <v>162</v>
      </c>
      <c r="B29" s="6" t="s">
        <v>621</v>
      </c>
      <c r="C29" s="6"/>
      <c r="D29" s="6">
        <v>1.02</v>
      </c>
      <c r="E29" s="6" t="s">
        <v>136</v>
      </c>
    </row>
    <row r="30" spans="1:5">
      <c r="A30" s="6" t="s">
        <v>168</v>
      </c>
      <c r="B30" s="6" t="s">
        <v>625</v>
      </c>
      <c r="C30" s="6"/>
      <c r="D30" s="6">
        <v>888</v>
      </c>
      <c r="E30" s="6" t="s">
        <v>626</v>
      </c>
    </row>
    <row r="31" spans="1:5">
      <c r="A31" s="6" t="s">
        <v>171</v>
      </c>
      <c r="B31" s="6" t="s">
        <v>621</v>
      </c>
      <c r="C31" s="6"/>
      <c r="D31" s="6">
        <v>0.77</v>
      </c>
      <c r="E31" s="6" t="s">
        <v>136</v>
      </c>
    </row>
    <row r="32" spans="1:5">
      <c r="A32" s="6" t="s">
        <v>171</v>
      </c>
      <c r="B32" s="6" t="s">
        <v>621</v>
      </c>
      <c r="C32" s="6"/>
      <c r="D32" s="6">
        <v>1</v>
      </c>
      <c r="E32" s="6" t="s">
        <v>136</v>
      </c>
    </row>
    <row r="33" spans="1:5">
      <c r="A33" s="6" t="s">
        <v>182</v>
      </c>
      <c r="B33" s="6" t="s">
        <v>621</v>
      </c>
      <c r="C33" s="6"/>
      <c r="D33" s="6">
        <v>0.5</v>
      </c>
      <c r="E33" s="6" t="s">
        <v>136</v>
      </c>
    </row>
    <row r="34" spans="1:5">
      <c r="A34" s="6" t="s">
        <v>183</v>
      </c>
      <c r="B34" s="6" t="s">
        <v>621</v>
      </c>
      <c r="C34" s="6"/>
      <c r="D34" s="6">
        <v>1.2</v>
      </c>
      <c r="E34" s="6" t="s">
        <v>136</v>
      </c>
    </row>
    <row r="35" spans="1:5">
      <c r="A35" s="6" t="s">
        <v>183</v>
      </c>
      <c r="B35" s="6" t="s">
        <v>621</v>
      </c>
      <c r="C35" s="6"/>
      <c r="D35" s="6">
        <v>2.35</v>
      </c>
      <c r="E35" s="6" t="s">
        <v>136</v>
      </c>
    </row>
    <row r="36" spans="1:5">
      <c r="A36" s="6" t="s">
        <v>198</v>
      </c>
      <c r="B36" s="6" t="s">
        <v>627</v>
      </c>
      <c r="C36" s="6"/>
      <c r="D36" s="6">
        <v>0.32</v>
      </c>
      <c r="E36" s="6" t="s">
        <v>628</v>
      </c>
    </row>
    <row r="37" spans="1:5">
      <c r="A37" s="6" t="s">
        <v>199</v>
      </c>
      <c r="B37" s="6" t="s">
        <v>627</v>
      </c>
      <c r="C37" s="6"/>
      <c r="D37" s="6">
        <v>3.35</v>
      </c>
      <c r="E37" s="6" t="s">
        <v>628</v>
      </c>
    </row>
    <row r="38" spans="1:5">
      <c r="A38" s="6" t="s">
        <v>199</v>
      </c>
      <c r="B38" s="6" t="s">
        <v>625</v>
      </c>
      <c r="C38" s="6"/>
      <c r="D38" s="6">
        <v>1000</v>
      </c>
      <c r="E38" s="6" t="s">
        <v>629</v>
      </c>
    </row>
    <row r="39" spans="1:5">
      <c r="A39" s="6" t="s">
        <v>199</v>
      </c>
      <c r="B39" s="6" t="s">
        <v>625</v>
      </c>
      <c r="C39" s="6"/>
      <c r="D39" s="6">
        <v>200</v>
      </c>
      <c r="E39" s="6" t="s">
        <v>630</v>
      </c>
    </row>
    <row r="40" spans="1:5">
      <c r="A40" s="6" t="s">
        <v>199</v>
      </c>
      <c r="B40" s="6" t="s">
        <v>625</v>
      </c>
      <c r="C40" s="6"/>
      <c r="D40" s="6">
        <v>200</v>
      </c>
      <c r="E40" s="6" t="s">
        <v>631</v>
      </c>
    </row>
    <row r="41" spans="1:5">
      <c r="A41" s="6" t="s">
        <v>199</v>
      </c>
      <c r="B41" s="6" t="s">
        <v>625</v>
      </c>
      <c r="C41" s="6"/>
      <c r="D41" s="6">
        <v>500</v>
      </c>
      <c r="E41" s="6" t="s">
        <v>632</v>
      </c>
    </row>
    <row r="42" spans="1:5">
      <c r="A42" s="6" t="s">
        <v>199</v>
      </c>
      <c r="B42" s="6" t="s">
        <v>625</v>
      </c>
      <c r="C42" s="6"/>
      <c r="D42" s="6">
        <v>300</v>
      </c>
      <c r="E42" s="6" t="s">
        <v>633</v>
      </c>
    </row>
    <row r="43" spans="1:5">
      <c r="A43" s="6" t="s">
        <v>199</v>
      </c>
      <c r="B43" s="6" t="s">
        <v>625</v>
      </c>
      <c r="C43" s="6"/>
      <c r="D43" s="6">
        <v>200</v>
      </c>
      <c r="E43" s="6" t="s">
        <v>634</v>
      </c>
    </row>
    <row r="44" spans="1:5">
      <c r="A44" s="6" t="s">
        <v>199</v>
      </c>
      <c r="B44" s="6" t="s">
        <v>625</v>
      </c>
      <c r="C44" s="6"/>
      <c r="D44" s="6">
        <v>200</v>
      </c>
      <c r="E44" s="6" t="s">
        <v>635</v>
      </c>
    </row>
    <row r="45" spans="1:5">
      <c r="A45" s="6" t="s">
        <v>199</v>
      </c>
      <c r="B45" s="6" t="s">
        <v>625</v>
      </c>
      <c r="C45" s="6"/>
      <c r="D45" s="6">
        <v>200</v>
      </c>
      <c r="E45" s="6" t="s">
        <v>636</v>
      </c>
    </row>
    <row r="46" spans="1:5">
      <c r="A46" s="6" t="s">
        <v>199</v>
      </c>
      <c r="B46" s="6" t="s">
        <v>625</v>
      </c>
      <c r="C46" s="6"/>
      <c r="D46" s="6">
        <v>200</v>
      </c>
      <c r="E46" s="6" t="s">
        <v>637</v>
      </c>
    </row>
    <row r="47" spans="1:5">
      <c r="A47" s="6" t="s">
        <v>199</v>
      </c>
      <c r="B47" s="6" t="s">
        <v>625</v>
      </c>
      <c r="C47" s="6"/>
      <c r="D47" s="6">
        <v>120</v>
      </c>
      <c r="E47" s="6" t="s">
        <v>638</v>
      </c>
    </row>
    <row r="48" spans="1:5">
      <c r="A48" s="6" t="s">
        <v>199</v>
      </c>
      <c r="B48" s="6" t="s">
        <v>625</v>
      </c>
      <c r="C48" s="6"/>
      <c r="D48" s="6">
        <v>200</v>
      </c>
      <c r="E48" s="6" t="s">
        <v>639</v>
      </c>
    </row>
    <row r="49" spans="1:5">
      <c r="A49" s="6" t="s">
        <v>199</v>
      </c>
      <c r="B49" s="6" t="s">
        <v>625</v>
      </c>
      <c r="C49" s="6"/>
      <c r="D49" s="6">
        <v>200</v>
      </c>
      <c r="E49" s="6" t="s">
        <v>640</v>
      </c>
    </row>
    <row r="50" spans="1:5">
      <c r="A50" s="6" t="s">
        <v>199</v>
      </c>
      <c r="B50" s="6" t="s">
        <v>625</v>
      </c>
      <c r="C50" s="6"/>
      <c r="D50" s="6">
        <v>1000</v>
      </c>
      <c r="E50" s="6" t="s">
        <v>641</v>
      </c>
    </row>
    <row r="51" spans="1:5">
      <c r="A51" s="6" t="s">
        <v>213</v>
      </c>
      <c r="B51" s="6" t="s">
        <v>621</v>
      </c>
      <c r="C51" s="6"/>
      <c r="D51" s="6">
        <v>0.57</v>
      </c>
      <c r="E51" s="6"/>
    </row>
    <row r="52" spans="1:4">
      <c r="A52" s="6" t="s">
        <v>253</v>
      </c>
      <c r="B52" s="6" t="s">
        <v>621</v>
      </c>
      <c r="C52" s="6"/>
      <c r="D52" s="6">
        <v>0.7</v>
      </c>
    </row>
    <row r="53" spans="1:4">
      <c r="A53" s="6" t="s">
        <v>253</v>
      </c>
      <c r="B53" s="6" t="s">
        <v>621</v>
      </c>
      <c r="C53" s="6"/>
      <c r="D53" s="6">
        <v>0.4</v>
      </c>
    </row>
    <row r="54" spans="1:4">
      <c r="A54" s="6" t="s">
        <v>245</v>
      </c>
      <c r="B54" s="6" t="s">
        <v>642</v>
      </c>
      <c r="C54" s="6"/>
      <c r="D54" s="6">
        <v>1100</v>
      </c>
    </row>
    <row r="55" spans="1:5">
      <c r="A55" s="6" t="s">
        <v>314</v>
      </c>
      <c r="B55" s="6" t="s">
        <v>621</v>
      </c>
      <c r="C55" s="6"/>
      <c r="D55" s="6">
        <v>0.61</v>
      </c>
      <c r="E55" s="6" t="s">
        <v>136</v>
      </c>
    </row>
    <row r="56" spans="1:5">
      <c r="A56" s="6" t="s">
        <v>315</v>
      </c>
      <c r="B56" s="6" t="s">
        <v>643</v>
      </c>
      <c r="C56" s="6"/>
      <c r="D56" s="6">
        <v>0.9</v>
      </c>
      <c r="E56" s="6" t="s">
        <v>643</v>
      </c>
    </row>
    <row r="57" spans="1:5">
      <c r="A57" s="6" t="s">
        <v>317</v>
      </c>
      <c r="B57" s="6" t="s">
        <v>621</v>
      </c>
      <c r="C57" s="6"/>
      <c r="D57" s="6">
        <v>0.32</v>
      </c>
      <c r="E57" s="6" t="s">
        <v>136</v>
      </c>
    </row>
    <row r="58" spans="1:5">
      <c r="A58" s="6" t="s">
        <v>317</v>
      </c>
      <c r="B58" s="6" t="s">
        <v>621</v>
      </c>
      <c r="C58" s="6"/>
      <c r="D58" s="6">
        <v>0.5</v>
      </c>
      <c r="E58" s="6" t="s">
        <v>136</v>
      </c>
    </row>
    <row r="59" spans="1:5">
      <c r="A59" s="6" t="s">
        <v>345</v>
      </c>
      <c r="B59" s="6" t="s">
        <v>621</v>
      </c>
      <c r="C59" s="6"/>
      <c r="D59" s="6">
        <v>0.82</v>
      </c>
      <c r="E59" s="6" t="s">
        <v>136</v>
      </c>
    </row>
    <row r="60" spans="1:5">
      <c r="A60" s="6" t="s">
        <v>345</v>
      </c>
      <c r="B60" s="6" t="s">
        <v>621</v>
      </c>
      <c r="C60" s="6"/>
      <c r="D60" s="6">
        <v>1.5</v>
      </c>
      <c r="E60" s="6" t="s">
        <v>136</v>
      </c>
    </row>
    <row r="61" spans="1:5">
      <c r="A61" s="6" t="s">
        <v>355</v>
      </c>
      <c r="B61" s="6" t="s">
        <v>621</v>
      </c>
      <c r="C61" s="6"/>
      <c r="D61" s="6">
        <v>1.57</v>
      </c>
      <c r="E61" s="6" t="s">
        <v>136</v>
      </c>
    </row>
    <row r="62" spans="1:5">
      <c r="A62" s="6" t="s">
        <v>357</v>
      </c>
      <c r="B62" s="6" t="s">
        <v>644</v>
      </c>
      <c r="C62" s="6"/>
      <c r="D62" s="6">
        <v>1000</v>
      </c>
      <c r="E62" s="6" t="s">
        <v>644</v>
      </c>
    </row>
    <row r="63" spans="1:4">
      <c r="A63" s="6" t="s">
        <v>390</v>
      </c>
      <c r="B63" s="6" t="s">
        <v>645</v>
      </c>
      <c r="C63" s="6"/>
      <c r="D63" s="6">
        <v>200</v>
      </c>
    </row>
  </sheetData>
  <dataValidations count="1">
    <dataValidation type="list" allowBlank="1" showInputMessage="1" showErrorMessage="1" sqref="C27 C30 C31 C32 C33 C36 C37 C40 C41 C42 C47 C48 C58 C59 C60 C63 C20:C21 C24:C26 C28:C29 C34:C35 C38:C39 C43:C46 C49:C50 C52:C54 C55:C57 C61:C62">
      <formula1>#REF!</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8</vt:i4>
      </vt:variant>
    </vt:vector>
  </HeadingPairs>
  <TitlesOfParts>
    <vt:vector size="8" baseType="lpstr">
      <vt:lpstr>2026.01</vt:lpstr>
      <vt:lpstr>2026.02</vt:lpstr>
      <vt:lpstr>2026.03</vt:lpstr>
      <vt:lpstr>2026.04</vt:lpstr>
      <vt:lpstr>2026.05</vt:lpstr>
      <vt:lpstr>2026.06</vt:lpstr>
      <vt:lpstr>2026.07</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wfli</dc:creator>
  <cp:lastModifiedBy>wfli</cp:lastModifiedBy>
  <dcterms:created xsi:type="dcterms:W3CDTF">2025-01-02T01:26:00Z</dcterms:created>
  <dcterms:modified xsi:type="dcterms:W3CDTF">2026-07-23T09:27:57Z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7BE1DDF9329B4D5DA728F4124D5659D9</vt:lpwstr>
  </property>
  <property fmtid="{D5CDD505-2E9C-101B-9397-08002B2CF9AE}" pid="3" name="KSOProductBuildVer">
    <vt:lpwstr>2052-11.8.2.12309</vt:lpwstr>
  </property>
</Properties>
</file>